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de/Desktop/Doctorado/MLOP/Documents/outputs/"/>
    </mc:Choice>
  </mc:AlternateContent>
  <xr:revisionPtr revIDLastSave="0" documentId="13_ncr:1_{1029B1A3-E26B-864D-B4B3-4F36710B824A}" xr6:coauthVersionLast="47" xr6:coauthVersionMax="47" xr10:uidLastSave="{00000000-0000-0000-0000-000000000000}"/>
  <bookViews>
    <workbookView xWindow="30280" yWindow="600" windowWidth="28040" windowHeight="17060" xr2:uid="{4AF98B10-1C44-004F-9706-ADD1C84FAD81}"/>
  </bookViews>
  <sheets>
    <sheet name="exact" sheetId="1" r:id="rId1"/>
    <sheet name="heuris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" i="1"/>
</calcChain>
</file>

<file path=xl/sharedStrings.xml><?xml version="1.0" encoding="utf-8"?>
<sst xmlns="http://schemas.openxmlformats.org/spreadsheetml/2006/main" count="268" uniqueCount="46">
  <si>
    <t>instance</t>
  </si>
  <si>
    <t>n</t>
  </si>
  <si>
    <t>g</t>
  </si>
  <si>
    <t>obj value</t>
  </si>
  <si>
    <t>best bound</t>
  </si>
  <si>
    <t>nodes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</si>
  <si>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</si>
  <si>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</si>
  <si>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</si>
  <si>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</si>
  <si>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</si>
  <si>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</si>
  <si>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</si>
  <si>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</si>
  <si>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</si>
  <si>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</si>
  <si>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</si>
  <si>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</si>
  <si>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</si>
  <si>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</si>
  <si>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</si>
  <si>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</si>
  <si>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</si>
  <si>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</si>
  <si>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</si>
  <si>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</si>
  <si>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</si>
  <si>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</si>
  <si>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</si>
  <si>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</si>
  <si>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</si>
  <si>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</si>
  <si>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</si>
  <si>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</si>
  <si>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</si>
  <si>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</si>
  <si>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</si>
  <si>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</si>
  <si>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</si>
  <si>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</si>
  <si>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</si>
  <si>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</si>
  <si>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time</t>
  </si>
  <si>
    <t>fit (%)</t>
  </si>
  <si>
    <t>gap (abs)</t>
  </si>
  <si>
    <t>#ite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</si>
</sst>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42" applyNumberFormat="1" applyFont="1" applyAlignment="1">
      <alignment horizontal="left"/>
    </xf>
    <xf numFmtId="165" fontId="0" fillId="0" borderId="0" xfId="42" applyNumberFormat="1" applyFont="1" applyAlignment="1">
      <alignment horizontal="right"/>
    </xf>
    <xf numFmtId="165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0.000%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0.000"/>
      <alignment horizontal="right" vertical="bottom" textRotation="0" wrapText="0" indent="0" justifyLastLine="0" shrinkToFit="0" readingOrder="0"/>
    </dxf>
    <dxf>
      <numFmt numFmtId="164" formatCode="0.000"/>
      <alignment horizontal="right" vertical="bottom" textRotation="0" wrapText="0" indent="0" justifyLastLine="0" shrinkToFit="0" readingOrder="0"/>
    </dxf>
    <dxf>
      <numFmt numFmtId="164" formatCode="0.000"/>
      <alignment horizontal="right" vertical="bottom" textRotation="0" wrapText="0" indent="0" justifyLastLine="0" shrinkToFit="0" readingOrder="0"/>
    </dxf>
    <dxf>
      <numFmt numFmtId="165" formatCode="0.000%"/>
      <alignment horizontal="right" vertical="bottom" textRotation="0" wrapText="0" indent="0" justifyLastLine="0" shrinkToFit="0" readingOrder="0"/>
    </dxf>
    <dxf>
      <numFmt numFmtId="164" formatCode="0.0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D86C6-9EDE-0D4D-A2C0-823C6A63EE29}" name="Tabla1" displayName="Tabla1" ref="A1:I145" totalsRowShown="0" headerRowDxfId="19" dataDxfId="18">
  <autoFilter ref="A1:I145" xr:uid="{B6DD86C6-9EDE-0D4D-A2C0-823C6A63EE29}"/>
  <tableColumns count="9">
    <tableColumn id="1" xr3:uid="{C672B42A-F5C2-C947-BAE9-0747ABC45E3C}" name="instance" dataDxfId="17"/>
    <tableColumn id="2" xr3:uid="{125E8AA8-D2D8-3849-998E-5903525FAE49}" name="n" dataDxfId="16"/>
    <tableColumn id="3" xr3:uid="{3C6A3319-185C-704C-9D17-94D8D39F186A}" name="g" dataDxfId="15"/>
    <tableColumn id="4" xr3:uid="{B095459B-6EAE-CA41-AEF9-8C59DE8D7CDD}" name="obj value" dataDxfId="14"/>
    <tableColumn id="9" xr3:uid="{6380FB57-1CC8-094E-8FA4-8D54AEC0A29A}" name="fit (%)" dataDxfId="13" dataCellStyle="Porcentaje">
      <calculatedColumnFormula>1-Tabla1[[#This Row],[obj value]]/((Tabla1[[#This Row],[n]]*(Tabla1[[#This Row],[n]]-1))/2)</calculatedColumnFormula>
    </tableColumn>
    <tableColumn id="5" xr3:uid="{212CBEA2-6419-C04A-8D2D-761F3A12B46F}" name="best bound" dataDxfId="12"/>
    <tableColumn id="6" xr3:uid="{0F4C1DAD-B8F7-8641-946A-6792354714A0}" name="gap (abs)" dataDxfId="11">
      <calculatedColumnFormula>ABS(D2-F2)</calculatedColumnFormula>
    </tableColumn>
    <tableColumn id="7" xr3:uid="{3F104723-F56C-7A42-A006-1AAD7A060280}" name="time" dataDxfId="10"/>
    <tableColumn id="8" xr3:uid="{7990B27F-1927-8344-80CF-03601597F3D3}" name="nodes" dataDxfId="9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92D237-6674-D74A-9CCC-16E7535221D8}" name="Tabla2" displayName="Tabla2" ref="A1:G109" totalsRowShown="0" headerRowDxfId="8" dataDxfId="7">
  <autoFilter ref="A1:G109" xr:uid="{F49A4949-5E14-AD43-A27C-77D71E073B02}"/>
  <tableColumns count="7">
    <tableColumn id="1" xr3:uid="{C887EB37-CF2C-7946-8E4A-D85BBD184890}" name="instance" dataDxfId="6"/>
    <tableColumn id="2" xr3:uid="{7E8753F0-C0CC-B340-9AC0-7436C00814C5}" name="n" dataDxfId="5"/>
    <tableColumn id="3" xr3:uid="{54FA3A98-B487-F747-B056-BCAC1FFDCDBE}" name="g" dataDxfId="4"/>
    <tableColumn id="4" xr3:uid="{E0E10CE9-1ECA-1F43-8639-F9C3F991302D}" name="obj value" dataDxfId="3"/>
    <tableColumn id="5" xr3:uid="{BCC1D385-2492-7445-A2CD-655DCFB5B45A}" name="fit (%)" dataDxfId="2" dataCellStyle="Porcentaje">
      <calculatedColumnFormula>1-Tabla2[[#This Row],[obj value]]/((Tabla2[[#This Row],[n]]*(Tabla2[[#This Row],[n]]-1))/2)</calculatedColumnFormula>
    </tableColumn>
    <tableColumn id="6" xr3:uid="{9C3B2365-712D-474D-BAB0-77A5D932E7B7}" name="time" dataDxfId="1"/>
    <tableColumn id="7" xr3:uid="{2E821FE4-D0D1-C244-91A7-F4748B8A5E13}" name="#ite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109CF-A5E1-0248-971A-6D2AC5DEB72C}">
  <dimension ref="A1:I145"/>
  <sheetViews>
    <sheetView tabSelected="1" workbookViewId="0">
      <selection activeCell="G2" sqref="G2"/>
    </sheetView>
  </sheetViews>
  <sheetFormatPr baseColWidth="10" defaultRowHeight="16" x14ac:dyDescent="0.2"/>
  <cols>
    <col min="1" max="4" width="12.83203125" customWidth="1"/>
    <col min="5" max="5" width="12.83203125" style="6" customWidth="1"/>
    <col min="6" max="9" width="12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43</v>
      </c>
      <c r="F1" s="1" t="s">
        <v>4</v>
      </c>
      <c r="G1" s="1" t="s">
        <v>44</v>
      </c>
      <c r="H1" s="1" t="s">
        <v>42</v>
      </c>
      <c r="I1" s="1" t="s">
        <v>5</v>
      </c>
    </row>
    <row r="2" spans="1:9" x14ac:dyDescent="0.2">
      <c r="A2" s="2" t="s">
        <v>6</v>
      </c>
      <c r="B2" s="2">
        <v>12</v>
      </c>
      <c r="C2" s="2">
        <v>1</v>
      </c>
      <c r="D2" s="3">
        <v>12.144</v>
      </c>
      <c r="E2" s="5">
        <f>1-Tabla1[[#This Row],[obj value]]/((Tabla1[[#This Row],[n]]*(Tabla1[[#This Row],[n]]-1))/2)</f>
        <v>0.81600000000000006</v>
      </c>
      <c r="F2" s="3">
        <v>12.144</v>
      </c>
      <c r="G2" s="3">
        <f t="shared" ref="G2:G33" si="0">ABS(D2-F2)</f>
        <v>0</v>
      </c>
      <c r="H2" s="3">
        <v>5.0000000000000001E-3</v>
      </c>
      <c r="I2" s="2">
        <v>1</v>
      </c>
    </row>
    <row r="3" spans="1:9" x14ac:dyDescent="0.2">
      <c r="A3" s="2" t="s">
        <v>6</v>
      </c>
      <c r="B3" s="2">
        <v>12</v>
      </c>
      <c r="C3" s="2">
        <v>2</v>
      </c>
      <c r="D3" s="3">
        <v>0.93400000000000005</v>
      </c>
      <c r="E3" s="5">
        <f>1-Tabla1[[#This Row],[obj value]]/((Tabla1[[#This Row],[n]]*(Tabla1[[#This Row],[n]]-1))/2)</f>
        <v>0.98584848484848486</v>
      </c>
      <c r="F3" s="3">
        <v>0.93400000000000005</v>
      </c>
      <c r="G3" s="3">
        <f t="shared" si="0"/>
        <v>0</v>
      </c>
      <c r="H3" s="3">
        <v>6.8000000000000005E-2</v>
      </c>
      <c r="I3" s="2">
        <v>1</v>
      </c>
    </row>
    <row r="4" spans="1:9" x14ac:dyDescent="0.2">
      <c r="A4" s="2" t="s">
        <v>6</v>
      </c>
      <c r="B4" s="2">
        <v>12</v>
      </c>
      <c r="C4" s="2">
        <v>3</v>
      </c>
      <c r="D4" s="3">
        <v>0.56200000000000006</v>
      </c>
      <c r="E4" s="5">
        <f>1-Tabla1[[#This Row],[obj value]]/((Tabla1[[#This Row],[n]]*(Tabla1[[#This Row],[n]]-1))/2)</f>
        <v>0.99148484848484852</v>
      </c>
      <c r="F4" s="3">
        <v>0.56200000000000006</v>
      </c>
      <c r="G4" s="3">
        <f t="shared" si="0"/>
        <v>0</v>
      </c>
      <c r="H4" s="3">
        <v>1.2769999999999999</v>
      </c>
      <c r="I4" s="2">
        <v>5667</v>
      </c>
    </row>
    <row r="5" spans="1:9" x14ac:dyDescent="0.2">
      <c r="A5" s="2" t="s">
        <v>6</v>
      </c>
      <c r="B5" s="2">
        <v>12</v>
      </c>
      <c r="C5" s="2">
        <v>4</v>
      </c>
      <c r="D5" s="3">
        <v>0.28999999999999998</v>
      </c>
      <c r="E5" s="5">
        <f>1-Tabla1[[#This Row],[obj value]]/((Tabla1[[#This Row],[n]]*(Tabla1[[#This Row],[n]]-1))/2)</f>
        <v>0.99560606060606061</v>
      </c>
      <c r="F5" s="3">
        <v>0.28999999999999998</v>
      </c>
      <c r="G5" s="3">
        <f t="shared" si="0"/>
        <v>0</v>
      </c>
      <c r="H5" s="3">
        <v>15.177</v>
      </c>
      <c r="I5" s="2">
        <v>64230</v>
      </c>
    </row>
    <row r="6" spans="1:9" x14ac:dyDescent="0.2">
      <c r="A6" s="2" t="s">
        <v>7</v>
      </c>
      <c r="B6" s="2">
        <v>12</v>
      </c>
      <c r="C6" s="2">
        <v>1</v>
      </c>
      <c r="D6" s="3">
        <v>8.6660000000000004</v>
      </c>
      <c r="E6" s="5">
        <f>1-Tabla1[[#This Row],[obj value]]/((Tabla1[[#This Row],[n]]*(Tabla1[[#This Row],[n]]-1))/2)</f>
        <v>0.86869696969696975</v>
      </c>
      <c r="F6" s="3">
        <v>8.6660000000000004</v>
      </c>
      <c r="G6" s="3">
        <f t="shared" si="0"/>
        <v>0</v>
      </c>
      <c r="H6" s="3">
        <v>5.0000000000000001E-3</v>
      </c>
      <c r="I6" s="2">
        <v>1</v>
      </c>
    </row>
    <row r="7" spans="1:9" x14ac:dyDescent="0.2">
      <c r="A7" s="2" t="s">
        <v>7</v>
      </c>
      <c r="B7" s="2">
        <v>12</v>
      </c>
      <c r="C7" s="2">
        <v>2</v>
      </c>
      <c r="D7" s="3">
        <v>1</v>
      </c>
      <c r="E7" s="5">
        <f>1-Tabla1[[#This Row],[obj value]]/((Tabla1[[#This Row],[n]]*(Tabla1[[#This Row],[n]]-1))/2)</f>
        <v>0.98484848484848486</v>
      </c>
      <c r="F7" s="3">
        <v>1</v>
      </c>
      <c r="G7" s="3">
        <f t="shared" si="0"/>
        <v>0</v>
      </c>
      <c r="H7" s="3">
        <v>6.8000000000000005E-2</v>
      </c>
      <c r="I7" s="2">
        <v>1</v>
      </c>
    </row>
    <row r="8" spans="1:9" x14ac:dyDescent="0.2">
      <c r="A8" s="2" t="s">
        <v>7</v>
      </c>
      <c r="B8" s="2">
        <v>12</v>
      </c>
      <c r="C8" s="2">
        <v>3</v>
      </c>
      <c r="D8" s="3">
        <v>0.64</v>
      </c>
      <c r="E8" s="5">
        <f>1-Tabla1[[#This Row],[obj value]]/((Tabla1[[#This Row],[n]]*(Tabla1[[#This Row],[n]]-1))/2)</f>
        <v>0.99030303030303035</v>
      </c>
      <c r="F8" s="3">
        <v>0.64</v>
      </c>
      <c r="G8" s="3">
        <f t="shared" si="0"/>
        <v>0</v>
      </c>
      <c r="H8" s="3">
        <v>2.4580000000000002</v>
      </c>
      <c r="I8" s="2">
        <v>17515</v>
      </c>
    </row>
    <row r="9" spans="1:9" x14ac:dyDescent="0.2">
      <c r="A9" s="2" t="s">
        <v>7</v>
      </c>
      <c r="B9" s="2">
        <v>12</v>
      </c>
      <c r="C9" s="2">
        <v>4</v>
      </c>
      <c r="D9" s="3">
        <v>0.34399999999999997</v>
      </c>
      <c r="E9" s="5">
        <f>1-Tabla1[[#This Row],[obj value]]/((Tabla1[[#This Row],[n]]*(Tabla1[[#This Row],[n]]-1))/2)</f>
        <v>0.99478787878787878</v>
      </c>
      <c r="F9" s="3">
        <v>0.34399999999999997</v>
      </c>
      <c r="G9" s="3">
        <f t="shared" si="0"/>
        <v>0</v>
      </c>
      <c r="H9" s="3">
        <v>35.110999999999997</v>
      </c>
      <c r="I9" s="2">
        <v>187298</v>
      </c>
    </row>
    <row r="10" spans="1:9" x14ac:dyDescent="0.2">
      <c r="A10" s="2" t="s">
        <v>8</v>
      </c>
      <c r="B10" s="2">
        <v>12</v>
      </c>
      <c r="C10" s="2">
        <v>1</v>
      </c>
      <c r="D10" s="3">
        <v>12.349</v>
      </c>
      <c r="E10" s="5">
        <f>1-Tabla1[[#This Row],[obj value]]/((Tabla1[[#This Row],[n]]*(Tabla1[[#This Row],[n]]-1))/2)</f>
        <v>0.81289393939393939</v>
      </c>
      <c r="F10" s="3">
        <v>12.349</v>
      </c>
      <c r="G10" s="3">
        <f t="shared" si="0"/>
        <v>0</v>
      </c>
      <c r="H10" s="3">
        <v>5.0000000000000001E-3</v>
      </c>
      <c r="I10" s="2">
        <v>1</v>
      </c>
    </row>
    <row r="11" spans="1:9" x14ac:dyDescent="0.2">
      <c r="A11" s="2" t="s">
        <v>8</v>
      </c>
      <c r="B11" s="2">
        <v>12</v>
      </c>
      <c r="C11" s="2">
        <v>2</v>
      </c>
      <c r="D11" s="3">
        <v>2.8740000000000001</v>
      </c>
      <c r="E11" s="5">
        <f>1-Tabla1[[#This Row],[obj value]]/((Tabla1[[#This Row],[n]]*(Tabla1[[#This Row],[n]]-1))/2)</f>
        <v>0.95645454545454545</v>
      </c>
      <c r="F11" s="3">
        <v>2.8740000000000001</v>
      </c>
      <c r="G11" s="3">
        <f t="shared" si="0"/>
        <v>0</v>
      </c>
      <c r="H11" s="3">
        <v>0.311</v>
      </c>
      <c r="I11" s="2">
        <v>132</v>
      </c>
    </row>
    <row r="12" spans="1:9" x14ac:dyDescent="0.2">
      <c r="A12" s="2" t="s">
        <v>8</v>
      </c>
      <c r="B12" s="2">
        <v>12</v>
      </c>
      <c r="C12" s="2">
        <v>3</v>
      </c>
      <c r="D12" s="3">
        <v>1.9419999999999999</v>
      </c>
      <c r="E12" s="5">
        <f>1-Tabla1[[#This Row],[obj value]]/((Tabla1[[#This Row],[n]]*(Tabla1[[#This Row],[n]]-1))/2)</f>
        <v>0.97057575757575754</v>
      </c>
      <c r="F12" s="3">
        <v>1.9419999999999999</v>
      </c>
      <c r="G12" s="3">
        <f t="shared" si="0"/>
        <v>0</v>
      </c>
      <c r="H12" s="3">
        <v>175.64699999999999</v>
      </c>
      <c r="I12" s="2">
        <v>370722</v>
      </c>
    </row>
    <row r="13" spans="1:9" x14ac:dyDescent="0.2">
      <c r="A13" s="2" t="s">
        <v>8</v>
      </c>
      <c r="B13" s="2">
        <v>12</v>
      </c>
      <c r="C13" s="2">
        <v>4</v>
      </c>
      <c r="D13" s="3">
        <v>1.3340000000000001</v>
      </c>
      <c r="E13" s="5">
        <f>1-Tabla1[[#This Row],[obj value]]/((Tabla1[[#This Row],[n]]*(Tabla1[[#This Row],[n]]-1))/2)</f>
        <v>0.97978787878787876</v>
      </c>
      <c r="F13" s="3">
        <v>0.73099999999999998</v>
      </c>
      <c r="G13" s="3">
        <f t="shared" si="0"/>
        <v>0.60300000000000009</v>
      </c>
      <c r="H13" s="3">
        <v>14400</v>
      </c>
      <c r="I13" s="2">
        <v>93522424</v>
      </c>
    </row>
    <row r="14" spans="1:9" x14ac:dyDescent="0.2">
      <c r="A14" s="2" t="s">
        <v>9</v>
      </c>
      <c r="B14" s="2">
        <v>12</v>
      </c>
      <c r="C14" s="2">
        <v>1</v>
      </c>
      <c r="D14" s="3">
        <v>21.344000000000001</v>
      </c>
      <c r="E14" s="5">
        <f>1-Tabla1[[#This Row],[obj value]]/((Tabla1[[#This Row],[n]]*(Tabla1[[#This Row],[n]]-1))/2)</f>
        <v>0.67660606060606066</v>
      </c>
      <c r="F14" s="3">
        <v>21.344000000000001</v>
      </c>
      <c r="G14" s="3">
        <f t="shared" si="0"/>
        <v>0</v>
      </c>
      <c r="H14" s="3">
        <v>5.0000000000000001E-3</v>
      </c>
      <c r="I14" s="2">
        <v>1</v>
      </c>
    </row>
    <row r="15" spans="1:9" x14ac:dyDescent="0.2">
      <c r="A15" s="2" t="s">
        <v>9</v>
      </c>
      <c r="B15" s="2">
        <v>12</v>
      </c>
      <c r="C15" s="2">
        <v>2</v>
      </c>
      <c r="D15" s="3">
        <v>2.83</v>
      </c>
      <c r="E15" s="5">
        <f>1-Tabla1[[#This Row],[obj value]]/((Tabla1[[#This Row],[n]]*(Tabla1[[#This Row],[n]]-1))/2)</f>
        <v>0.95712121212121215</v>
      </c>
      <c r="F15" s="3">
        <v>2.83</v>
      </c>
      <c r="G15" s="3">
        <f t="shared" si="0"/>
        <v>0</v>
      </c>
      <c r="H15" s="3">
        <v>0.41499999999999998</v>
      </c>
      <c r="I15" s="2">
        <v>762</v>
      </c>
    </row>
    <row r="16" spans="1:9" x14ac:dyDescent="0.2">
      <c r="A16" s="2" t="s">
        <v>9</v>
      </c>
      <c r="B16" s="2">
        <v>12</v>
      </c>
      <c r="C16" s="2">
        <v>3</v>
      </c>
      <c r="D16" s="3">
        <v>1.968</v>
      </c>
      <c r="E16" s="5">
        <f>1-Tabla1[[#This Row],[obj value]]/((Tabla1[[#This Row],[n]]*(Tabla1[[#This Row],[n]]-1))/2)</f>
        <v>0.97018181818181815</v>
      </c>
      <c r="F16" s="3">
        <v>1.968</v>
      </c>
      <c r="G16" s="3">
        <f t="shared" si="0"/>
        <v>0</v>
      </c>
      <c r="H16" s="3">
        <v>421.68900000000002</v>
      </c>
      <c r="I16" s="2">
        <v>1194351</v>
      </c>
    </row>
    <row r="17" spans="1:9" x14ac:dyDescent="0.2">
      <c r="A17" s="2" t="s">
        <v>9</v>
      </c>
      <c r="B17" s="2">
        <v>12</v>
      </c>
      <c r="C17" s="2">
        <v>4</v>
      </c>
      <c r="D17" s="3">
        <v>1.123</v>
      </c>
      <c r="E17" s="5">
        <f>1-Tabla1[[#This Row],[obj value]]/((Tabla1[[#This Row],[n]]*(Tabla1[[#This Row],[n]]-1))/2)</f>
        <v>0.98298484848484846</v>
      </c>
      <c r="F17" s="3">
        <v>0.84899999999999998</v>
      </c>
      <c r="G17" s="3">
        <f t="shared" si="0"/>
        <v>0.27400000000000002</v>
      </c>
      <c r="H17" s="3">
        <v>14400</v>
      </c>
      <c r="I17" s="2">
        <v>99476914</v>
      </c>
    </row>
    <row r="18" spans="1:9" x14ac:dyDescent="0.2">
      <c r="A18" s="2" t="s">
        <v>10</v>
      </c>
      <c r="B18" s="2">
        <v>12</v>
      </c>
      <c r="C18" s="2">
        <v>1</v>
      </c>
      <c r="D18" s="3">
        <v>13.603999999999999</v>
      </c>
      <c r="E18" s="5">
        <f>1-Tabla1[[#This Row],[obj value]]/((Tabla1[[#This Row],[n]]*(Tabla1[[#This Row],[n]]-1))/2)</f>
        <v>0.79387878787878785</v>
      </c>
      <c r="F18" s="3">
        <v>13.603999999999999</v>
      </c>
      <c r="G18" s="3">
        <f t="shared" si="0"/>
        <v>0</v>
      </c>
      <c r="H18" s="3">
        <v>6.0000000000000001E-3</v>
      </c>
      <c r="I18" s="2">
        <v>1</v>
      </c>
    </row>
    <row r="19" spans="1:9" x14ac:dyDescent="0.2">
      <c r="A19" s="2" t="s">
        <v>10</v>
      </c>
      <c r="B19" s="2">
        <v>12</v>
      </c>
      <c r="C19" s="2">
        <v>2</v>
      </c>
      <c r="D19" s="3">
        <v>4.556</v>
      </c>
      <c r="E19" s="5">
        <f>1-Tabla1[[#This Row],[obj value]]/((Tabla1[[#This Row],[n]]*(Tabla1[[#This Row],[n]]-1))/2)</f>
        <v>0.930969696969697</v>
      </c>
      <c r="F19" s="3">
        <v>4.556</v>
      </c>
      <c r="G19" s="3">
        <f t="shared" si="0"/>
        <v>0</v>
      </c>
      <c r="H19" s="3">
        <v>1.5629999999999999</v>
      </c>
      <c r="I19" s="2">
        <v>5751</v>
      </c>
    </row>
    <row r="20" spans="1:9" x14ac:dyDescent="0.2">
      <c r="A20" s="2" t="s">
        <v>10</v>
      </c>
      <c r="B20" s="2">
        <v>12</v>
      </c>
      <c r="C20" s="2">
        <v>3</v>
      </c>
      <c r="D20" s="3">
        <v>2.9750000000000001</v>
      </c>
      <c r="E20" s="5">
        <f>1-Tabla1[[#This Row],[obj value]]/((Tabla1[[#This Row],[n]]*(Tabla1[[#This Row],[n]]-1))/2)</f>
        <v>0.95492424242424245</v>
      </c>
      <c r="F20" s="3">
        <v>2.9750000000000001</v>
      </c>
      <c r="G20" s="3">
        <f t="shared" si="0"/>
        <v>0</v>
      </c>
      <c r="H20" s="3">
        <v>13930.308999999999</v>
      </c>
      <c r="I20" s="2">
        <v>35556800</v>
      </c>
    </row>
    <row r="21" spans="1:9" x14ac:dyDescent="0.2">
      <c r="A21" s="2" t="s">
        <v>10</v>
      </c>
      <c r="B21" s="2">
        <v>12</v>
      </c>
      <c r="C21" s="2">
        <v>4</v>
      </c>
      <c r="D21" s="3">
        <v>1.877</v>
      </c>
      <c r="E21" s="5">
        <f>1-Tabla1[[#This Row],[obj value]]/((Tabla1[[#This Row],[n]]*(Tabla1[[#This Row],[n]]-1))/2)</f>
        <v>0.97156060606060601</v>
      </c>
      <c r="F21" s="3">
        <v>0.67</v>
      </c>
      <c r="G21" s="3">
        <f t="shared" si="0"/>
        <v>1.2069999999999999</v>
      </c>
      <c r="H21" s="3">
        <v>14400</v>
      </c>
      <c r="I21" s="2">
        <v>78533311</v>
      </c>
    </row>
    <row r="22" spans="1:9" x14ac:dyDescent="0.2">
      <c r="A22" s="2" t="s">
        <v>11</v>
      </c>
      <c r="B22" s="2">
        <v>12</v>
      </c>
      <c r="C22" s="2">
        <v>1</v>
      </c>
      <c r="D22" s="3">
        <v>20.440000000000001</v>
      </c>
      <c r="E22" s="5">
        <f>1-Tabla1[[#This Row],[obj value]]/((Tabla1[[#This Row],[n]]*(Tabla1[[#This Row],[n]]-1))/2)</f>
        <v>0.69030303030303031</v>
      </c>
      <c r="F22" s="3">
        <v>20.440000000000001</v>
      </c>
      <c r="G22" s="3">
        <f t="shared" si="0"/>
        <v>0</v>
      </c>
      <c r="H22" s="3">
        <v>5.0000000000000001E-3</v>
      </c>
      <c r="I22" s="2">
        <v>1</v>
      </c>
    </row>
    <row r="23" spans="1:9" x14ac:dyDescent="0.2">
      <c r="A23" s="2" t="s">
        <v>11</v>
      </c>
      <c r="B23" s="2">
        <v>12</v>
      </c>
      <c r="C23" s="2">
        <v>2</v>
      </c>
      <c r="D23" s="3">
        <v>3.8220000000000001</v>
      </c>
      <c r="E23" s="5">
        <f>1-Tabla1[[#This Row],[obj value]]/((Tabla1[[#This Row],[n]]*(Tabla1[[#This Row],[n]]-1))/2)</f>
        <v>0.94209090909090909</v>
      </c>
      <c r="F23" s="3">
        <v>3.8220000000000001</v>
      </c>
      <c r="G23" s="3">
        <f t="shared" si="0"/>
        <v>0</v>
      </c>
      <c r="H23" s="3">
        <v>0.39600000000000002</v>
      </c>
      <c r="I23" s="2">
        <v>714</v>
      </c>
    </row>
    <row r="24" spans="1:9" x14ac:dyDescent="0.2">
      <c r="A24" s="2" t="s">
        <v>11</v>
      </c>
      <c r="B24" s="2">
        <v>12</v>
      </c>
      <c r="C24" s="2">
        <v>3</v>
      </c>
      <c r="D24" s="3">
        <v>2.746</v>
      </c>
      <c r="E24" s="5">
        <f>1-Tabla1[[#This Row],[obj value]]/((Tabla1[[#This Row],[n]]*(Tabla1[[#This Row],[n]]-1))/2)</f>
        <v>0.95839393939393935</v>
      </c>
      <c r="F24" s="3">
        <v>2.746</v>
      </c>
      <c r="G24" s="3">
        <f t="shared" si="0"/>
        <v>0</v>
      </c>
      <c r="H24" s="3">
        <v>4996.1149999999998</v>
      </c>
      <c r="I24" s="2">
        <v>13496388</v>
      </c>
    </row>
    <row r="25" spans="1:9" x14ac:dyDescent="0.2">
      <c r="A25" s="2" t="s">
        <v>11</v>
      </c>
      <c r="B25" s="2">
        <v>12</v>
      </c>
      <c r="C25" s="2">
        <v>4</v>
      </c>
      <c r="D25" s="3">
        <v>1.8</v>
      </c>
      <c r="E25" s="5">
        <f>1-Tabla1[[#This Row],[obj value]]/((Tabla1[[#This Row],[n]]*(Tabla1[[#This Row],[n]]-1))/2)</f>
        <v>0.97272727272727277</v>
      </c>
      <c r="F25" s="3">
        <v>0.72099999999999997</v>
      </c>
      <c r="G25" s="3">
        <f t="shared" si="0"/>
        <v>1.0790000000000002</v>
      </c>
      <c r="H25" s="3">
        <v>14400</v>
      </c>
      <c r="I25" s="2">
        <v>83818927</v>
      </c>
    </row>
    <row r="26" spans="1:9" x14ac:dyDescent="0.2">
      <c r="A26" s="2" t="s">
        <v>12</v>
      </c>
      <c r="B26" s="2">
        <v>12</v>
      </c>
      <c r="C26" s="2">
        <v>1</v>
      </c>
      <c r="D26" s="3">
        <v>20.762</v>
      </c>
      <c r="E26" s="5">
        <f>1-Tabla1[[#This Row],[obj value]]/((Tabla1[[#This Row],[n]]*(Tabla1[[#This Row],[n]]-1))/2)</f>
        <v>0.68542424242424249</v>
      </c>
      <c r="F26" s="3">
        <v>20.762</v>
      </c>
      <c r="G26" s="3">
        <f t="shared" si="0"/>
        <v>0</v>
      </c>
      <c r="H26" s="3">
        <v>5.0000000000000001E-3</v>
      </c>
      <c r="I26" s="2">
        <v>1</v>
      </c>
    </row>
    <row r="27" spans="1:9" x14ac:dyDescent="0.2">
      <c r="A27" s="2" t="s">
        <v>12</v>
      </c>
      <c r="B27" s="2">
        <v>12</v>
      </c>
      <c r="C27" s="2">
        <v>2</v>
      </c>
      <c r="D27" s="3">
        <v>5.3339999999999996</v>
      </c>
      <c r="E27" s="5">
        <f>1-Tabla1[[#This Row],[obj value]]/((Tabla1[[#This Row],[n]]*(Tabla1[[#This Row],[n]]-1))/2)</f>
        <v>0.91918181818181821</v>
      </c>
      <c r="F27" s="3">
        <v>5.3339999999999996</v>
      </c>
      <c r="G27" s="3">
        <f t="shared" si="0"/>
        <v>0</v>
      </c>
      <c r="H27" s="3">
        <v>2.8479999999999999</v>
      </c>
      <c r="I27" s="2">
        <v>4648</v>
      </c>
    </row>
    <row r="28" spans="1:9" x14ac:dyDescent="0.2">
      <c r="A28" s="2" t="s">
        <v>12</v>
      </c>
      <c r="B28" s="2">
        <v>12</v>
      </c>
      <c r="C28" s="2">
        <v>3</v>
      </c>
      <c r="D28" s="3">
        <v>0.92</v>
      </c>
      <c r="E28" s="5">
        <f>1-Tabla1[[#This Row],[obj value]]/((Tabla1[[#This Row],[n]]*(Tabla1[[#This Row],[n]]-1))/2)</f>
        <v>0.98606060606060608</v>
      </c>
      <c r="F28" s="3">
        <v>0.92</v>
      </c>
      <c r="G28" s="3">
        <f t="shared" si="0"/>
        <v>0</v>
      </c>
      <c r="H28" s="3">
        <v>6.2729999999999997</v>
      </c>
      <c r="I28" s="2">
        <v>32780</v>
      </c>
    </row>
    <row r="29" spans="1:9" x14ac:dyDescent="0.2">
      <c r="A29" s="2" t="s">
        <v>12</v>
      </c>
      <c r="B29" s="2">
        <v>12</v>
      </c>
      <c r="C29" s="2">
        <v>4</v>
      </c>
      <c r="D29" s="3">
        <v>0.61599999999999999</v>
      </c>
      <c r="E29" s="5">
        <f>1-Tabla1[[#This Row],[obj value]]/((Tabla1[[#This Row],[n]]*(Tabla1[[#This Row],[n]]-1))/2)</f>
        <v>0.9906666666666667</v>
      </c>
      <c r="F29" s="3">
        <v>0.61599999999999999</v>
      </c>
      <c r="G29" s="3">
        <f t="shared" si="0"/>
        <v>0</v>
      </c>
      <c r="H29" s="3">
        <v>739.21500000000003</v>
      </c>
      <c r="I29" s="2">
        <v>3154893</v>
      </c>
    </row>
    <row r="30" spans="1:9" x14ac:dyDescent="0.2">
      <c r="A30" s="2" t="s">
        <v>13</v>
      </c>
      <c r="B30" s="2">
        <v>12</v>
      </c>
      <c r="C30" s="2">
        <v>1</v>
      </c>
      <c r="D30" s="3">
        <v>19.305</v>
      </c>
      <c r="E30" s="5">
        <f>1-Tabla1[[#This Row],[obj value]]/((Tabla1[[#This Row],[n]]*(Tabla1[[#This Row],[n]]-1))/2)</f>
        <v>0.70750000000000002</v>
      </c>
      <c r="F30" s="3">
        <v>19.305</v>
      </c>
      <c r="G30" s="3">
        <f t="shared" si="0"/>
        <v>0</v>
      </c>
      <c r="H30" s="3">
        <v>5.0000000000000001E-3</v>
      </c>
      <c r="I30" s="2">
        <v>1</v>
      </c>
    </row>
    <row r="31" spans="1:9" x14ac:dyDescent="0.2">
      <c r="A31" s="2" t="s">
        <v>13</v>
      </c>
      <c r="B31" s="2">
        <v>12</v>
      </c>
      <c r="C31" s="2">
        <v>2</v>
      </c>
      <c r="D31" s="3">
        <v>4.2489999999999997</v>
      </c>
      <c r="E31" s="5">
        <f>1-Tabla1[[#This Row],[obj value]]/((Tabla1[[#This Row],[n]]*(Tabla1[[#This Row],[n]]-1))/2)</f>
        <v>0.93562121212121219</v>
      </c>
      <c r="F31" s="3">
        <v>4.2489999999999997</v>
      </c>
      <c r="G31" s="3">
        <f t="shared" si="0"/>
        <v>0</v>
      </c>
      <c r="H31" s="3">
        <v>0.76600000000000001</v>
      </c>
      <c r="I31" s="2">
        <v>1603</v>
      </c>
    </row>
    <row r="32" spans="1:9" x14ac:dyDescent="0.2">
      <c r="A32" s="2" t="s">
        <v>13</v>
      </c>
      <c r="B32" s="2">
        <v>12</v>
      </c>
      <c r="C32" s="2">
        <v>3</v>
      </c>
      <c r="D32" s="3">
        <v>0.94199999999999995</v>
      </c>
      <c r="E32" s="5">
        <f>1-Tabla1[[#This Row],[obj value]]/((Tabla1[[#This Row],[n]]*(Tabla1[[#This Row],[n]]-1))/2)</f>
        <v>0.98572727272727267</v>
      </c>
      <c r="F32" s="3">
        <v>0.94199999999999995</v>
      </c>
      <c r="G32" s="3">
        <f t="shared" si="0"/>
        <v>0</v>
      </c>
      <c r="H32" s="3">
        <v>39.07</v>
      </c>
      <c r="I32" s="2">
        <v>165908</v>
      </c>
    </row>
    <row r="33" spans="1:9" x14ac:dyDescent="0.2">
      <c r="A33" s="2" t="s">
        <v>13</v>
      </c>
      <c r="B33" s="2">
        <v>12</v>
      </c>
      <c r="C33" s="2">
        <v>4</v>
      </c>
      <c r="D33" s="3">
        <v>0.67600000000000005</v>
      </c>
      <c r="E33" s="5">
        <f>1-Tabla1[[#This Row],[obj value]]/((Tabla1[[#This Row],[n]]*(Tabla1[[#This Row],[n]]-1))/2)</f>
        <v>0.98975757575757572</v>
      </c>
      <c r="F33" s="3">
        <v>0.67600000000000005</v>
      </c>
      <c r="G33" s="3">
        <f t="shared" si="0"/>
        <v>0</v>
      </c>
      <c r="H33" s="3">
        <v>5577.49</v>
      </c>
      <c r="I33" s="2">
        <v>28041083</v>
      </c>
    </row>
    <row r="34" spans="1:9" x14ac:dyDescent="0.2">
      <c r="A34" s="2" t="s">
        <v>14</v>
      </c>
      <c r="B34" s="2">
        <v>12</v>
      </c>
      <c r="C34" s="2">
        <v>1</v>
      </c>
      <c r="D34" s="3">
        <v>13.853</v>
      </c>
      <c r="E34" s="5">
        <f>1-Tabla1[[#This Row],[obj value]]/((Tabla1[[#This Row],[n]]*(Tabla1[[#This Row],[n]]-1))/2)</f>
        <v>0.79010606060606059</v>
      </c>
      <c r="F34" s="3">
        <v>13.853</v>
      </c>
      <c r="G34" s="3">
        <f t="shared" ref="G34:G65" si="1">ABS(D34-F34)</f>
        <v>0</v>
      </c>
      <c r="H34" s="3">
        <v>5.0000000000000001E-3</v>
      </c>
      <c r="I34" s="2">
        <v>1</v>
      </c>
    </row>
    <row r="35" spans="1:9" x14ac:dyDescent="0.2">
      <c r="A35" s="2" t="s">
        <v>14</v>
      </c>
      <c r="B35" s="2">
        <v>12</v>
      </c>
      <c r="C35" s="2">
        <v>2</v>
      </c>
      <c r="D35" s="3">
        <v>5.0780000000000003</v>
      </c>
      <c r="E35" s="5">
        <f>1-Tabla1[[#This Row],[obj value]]/((Tabla1[[#This Row],[n]]*(Tabla1[[#This Row],[n]]-1))/2)</f>
        <v>0.92306060606060603</v>
      </c>
      <c r="F35" s="3">
        <v>5.0780000000000003</v>
      </c>
      <c r="G35" s="3">
        <f t="shared" si="1"/>
        <v>0</v>
      </c>
      <c r="H35" s="3">
        <v>2.444</v>
      </c>
      <c r="I35" s="2">
        <v>9425</v>
      </c>
    </row>
    <row r="36" spans="1:9" x14ac:dyDescent="0.2">
      <c r="A36" s="2" t="s">
        <v>14</v>
      </c>
      <c r="B36" s="2">
        <v>12</v>
      </c>
      <c r="C36" s="2">
        <v>3</v>
      </c>
      <c r="D36" s="3">
        <v>2.714</v>
      </c>
      <c r="E36" s="5">
        <f>1-Tabla1[[#This Row],[obj value]]/((Tabla1[[#This Row],[n]]*(Tabla1[[#This Row],[n]]-1))/2)</f>
        <v>0.95887878787878789</v>
      </c>
      <c r="F36" s="3">
        <v>2.714</v>
      </c>
      <c r="G36" s="3">
        <f t="shared" si="1"/>
        <v>0</v>
      </c>
      <c r="H36" s="3">
        <v>2907.991</v>
      </c>
      <c r="I36" s="2">
        <v>7067146</v>
      </c>
    </row>
    <row r="37" spans="1:9" x14ac:dyDescent="0.2">
      <c r="A37" s="2" t="s">
        <v>14</v>
      </c>
      <c r="B37" s="2">
        <v>12</v>
      </c>
      <c r="C37" s="2">
        <v>4</v>
      </c>
      <c r="D37" s="3">
        <v>1.7490000000000001</v>
      </c>
      <c r="E37" s="5">
        <f>1-Tabla1[[#This Row],[obj value]]/((Tabla1[[#This Row],[n]]*(Tabla1[[#This Row],[n]]-1))/2)</f>
        <v>0.97350000000000003</v>
      </c>
      <c r="F37" s="3">
        <v>0.78600000000000003</v>
      </c>
      <c r="G37" s="3">
        <f t="shared" si="1"/>
        <v>0.96300000000000008</v>
      </c>
      <c r="H37" s="3">
        <v>14400</v>
      </c>
      <c r="I37" s="2">
        <v>78299373</v>
      </c>
    </row>
    <row r="38" spans="1:9" x14ac:dyDescent="0.2">
      <c r="A38" s="2" t="s">
        <v>15</v>
      </c>
      <c r="B38" s="2">
        <v>12</v>
      </c>
      <c r="C38" s="2">
        <v>1</v>
      </c>
      <c r="D38" s="3">
        <v>14.416</v>
      </c>
      <c r="E38" s="5">
        <f>1-Tabla1[[#This Row],[obj value]]/((Tabla1[[#This Row],[n]]*(Tabla1[[#This Row],[n]]-1))/2)</f>
        <v>0.78157575757575759</v>
      </c>
      <c r="F38" s="3">
        <v>14.416</v>
      </c>
      <c r="G38" s="3">
        <f t="shared" si="1"/>
        <v>0</v>
      </c>
      <c r="H38" s="3">
        <v>6.0000000000000001E-3</v>
      </c>
      <c r="I38" s="2">
        <v>1</v>
      </c>
    </row>
    <row r="39" spans="1:9" x14ac:dyDescent="0.2">
      <c r="A39" s="2" t="s">
        <v>15</v>
      </c>
      <c r="B39" s="2">
        <v>12</v>
      </c>
      <c r="C39" s="2">
        <v>2</v>
      </c>
      <c r="D39" s="3">
        <v>5.5179999999999998</v>
      </c>
      <c r="E39" s="5">
        <f>1-Tabla1[[#This Row],[obj value]]/((Tabla1[[#This Row],[n]]*(Tabla1[[#This Row],[n]]-1))/2)</f>
        <v>0.91639393939393943</v>
      </c>
      <c r="F39" s="3">
        <v>5.5179999999999998</v>
      </c>
      <c r="G39" s="3">
        <f t="shared" si="1"/>
        <v>0</v>
      </c>
      <c r="H39" s="3">
        <v>5.8739999999999997</v>
      </c>
      <c r="I39" s="2">
        <v>10690</v>
      </c>
    </row>
    <row r="40" spans="1:9" x14ac:dyDescent="0.2">
      <c r="A40" s="2" t="s">
        <v>15</v>
      </c>
      <c r="B40" s="2">
        <v>12</v>
      </c>
      <c r="C40" s="2">
        <v>3</v>
      </c>
      <c r="D40" s="3">
        <v>2.1720000000000002</v>
      </c>
      <c r="E40" s="5">
        <f>1-Tabla1[[#This Row],[obj value]]/((Tabla1[[#This Row],[n]]*(Tabla1[[#This Row],[n]]-1))/2)</f>
        <v>0.96709090909090911</v>
      </c>
      <c r="F40" s="3">
        <v>2.1720000000000002</v>
      </c>
      <c r="G40" s="3">
        <f t="shared" si="1"/>
        <v>0</v>
      </c>
      <c r="H40" s="3">
        <v>1671.7349999999999</v>
      </c>
      <c r="I40" s="2">
        <v>4089686</v>
      </c>
    </row>
    <row r="41" spans="1:9" x14ac:dyDescent="0.2">
      <c r="A41" s="2" t="s">
        <v>15</v>
      </c>
      <c r="B41" s="2">
        <v>12</v>
      </c>
      <c r="C41" s="2">
        <v>4</v>
      </c>
      <c r="D41" s="3">
        <v>1.48</v>
      </c>
      <c r="E41" s="5">
        <f>1-Tabla1[[#This Row],[obj value]]/((Tabla1[[#This Row],[n]]*(Tabla1[[#This Row],[n]]-1))/2)</f>
        <v>0.97757575757575754</v>
      </c>
      <c r="F41" s="3">
        <v>0.746</v>
      </c>
      <c r="G41" s="3">
        <f t="shared" si="1"/>
        <v>0.73399999999999999</v>
      </c>
      <c r="H41" s="3">
        <v>14400</v>
      </c>
      <c r="I41" s="2">
        <v>92406973</v>
      </c>
    </row>
    <row r="42" spans="1:9" x14ac:dyDescent="0.2">
      <c r="A42" s="2" t="s">
        <v>16</v>
      </c>
      <c r="B42" s="2">
        <v>12</v>
      </c>
      <c r="C42" s="2">
        <v>1</v>
      </c>
      <c r="D42" s="3">
        <v>15.298999999999999</v>
      </c>
      <c r="E42" s="5">
        <f>1-Tabla1[[#This Row],[obj value]]/((Tabla1[[#This Row],[n]]*(Tabla1[[#This Row],[n]]-1))/2)</f>
        <v>0.76819696969696971</v>
      </c>
      <c r="F42" s="3">
        <v>15.298999999999999</v>
      </c>
      <c r="G42" s="3">
        <f t="shared" si="1"/>
        <v>0</v>
      </c>
      <c r="H42" s="3">
        <v>5.0000000000000001E-3</v>
      </c>
      <c r="I42" s="2">
        <v>1</v>
      </c>
    </row>
    <row r="43" spans="1:9" x14ac:dyDescent="0.2">
      <c r="A43" s="2" t="s">
        <v>16</v>
      </c>
      <c r="B43" s="2">
        <v>12</v>
      </c>
      <c r="C43" s="2">
        <v>2</v>
      </c>
      <c r="D43" s="3">
        <v>5.1790000000000003</v>
      </c>
      <c r="E43" s="5">
        <f>1-Tabla1[[#This Row],[obj value]]/((Tabla1[[#This Row],[n]]*(Tabla1[[#This Row],[n]]-1))/2)</f>
        <v>0.92153030303030303</v>
      </c>
      <c r="F43" s="3">
        <v>5.1790000000000003</v>
      </c>
      <c r="G43" s="3">
        <f t="shared" si="1"/>
        <v>0</v>
      </c>
      <c r="H43" s="3">
        <v>3.2469999999999999</v>
      </c>
      <c r="I43" s="2">
        <v>5305</v>
      </c>
    </row>
    <row r="44" spans="1:9" x14ac:dyDescent="0.2">
      <c r="A44" s="2" t="s">
        <v>16</v>
      </c>
      <c r="B44" s="2">
        <v>12</v>
      </c>
      <c r="C44" s="2">
        <v>3</v>
      </c>
      <c r="D44" s="3">
        <v>3.4940000000000002</v>
      </c>
      <c r="E44" s="5">
        <f>1-Tabla1[[#This Row],[obj value]]/((Tabla1[[#This Row],[n]]*(Tabla1[[#This Row],[n]]-1))/2)</f>
        <v>0.94706060606060605</v>
      </c>
      <c r="F44" s="3">
        <v>2.5</v>
      </c>
      <c r="G44" s="3">
        <f t="shared" si="1"/>
        <v>0.99400000000000022</v>
      </c>
      <c r="H44" s="3">
        <v>14400</v>
      </c>
      <c r="I44" s="2">
        <v>41314490</v>
      </c>
    </row>
    <row r="45" spans="1:9" x14ac:dyDescent="0.2">
      <c r="A45" s="2" t="s">
        <v>16</v>
      </c>
      <c r="B45" s="2">
        <v>12</v>
      </c>
      <c r="C45" s="2">
        <v>4</v>
      </c>
      <c r="D45" s="3">
        <v>1.9710000000000001</v>
      </c>
      <c r="E45" s="5">
        <f>1-Tabla1[[#This Row],[obj value]]/((Tabla1[[#This Row],[n]]*(Tabla1[[#This Row],[n]]-1))/2)</f>
        <v>0.97013636363636369</v>
      </c>
      <c r="F45" s="3">
        <v>0.65800000000000003</v>
      </c>
      <c r="G45" s="3">
        <f t="shared" si="1"/>
        <v>1.3130000000000002</v>
      </c>
      <c r="H45" s="3">
        <v>14400</v>
      </c>
      <c r="I45" s="2">
        <v>97429226</v>
      </c>
    </row>
    <row r="46" spans="1:9" x14ac:dyDescent="0.2">
      <c r="A46" s="2" t="s">
        <v>17</v>
      </c>
      <c r="B46" s="2">
        <v>12</v>
      </c>
      <c r="C46" s="2">
        <v>1</v>
      </c>
      <c r="D46" s="3">
        <v>22.300999999999998</v>
      </c>
      <c r="E46" s="5">
        <f>1-Tabla1[[#This Row],[obj value]]/((Tabla1[[#This Row],[n]]*(Tabla1[[#This Row],[n]]-1))/2)</f>
        <v>0.6621060606060607</v>
      </c>
      <c r="F46" s="3">
        <v>22.300999999999998</v>
      </c>
      <c r="G46" s="3">
        <f t="shared" si="1"/>
        <v>0</v>
      </c>
      <c r="H46" s="3">
        <v>5.0000000000000001E-3</v>
      </c>
      <c r="I46" s="2">
        <v>1</v>
      </c>
    </row>
    <row r="47" spans="1:9" x14ac:dyDescent="0.2">
      <c r="A47" s="2" t="s">
        <v>17</v>
      </c>
      <c r="B47" s="2">
        <v>12</v>
      </c>
      <c r="C47" s="2">
        <v>2</v>
      </c>
      <c r="D47" s="3">
        <v>4.8869999999999996</v>
      </c>
      <c r="E47" s="5">
        <f>1-Tabla1[[#This Row],[obj value]]/((Tabla1[[#This Row],[n]]*(Tabla1[[#This Row],[n]]-1))/2)</f>
        <v>0.92595454545454547</v>
      </c>
      <c r="F47" s="3">
        <v>4.8869999999999996</v>
      </c>
      <c r="G47" s="3">
        <f t="shared" si="1"/>
        <v>0</v>
      </c>
      <c r="H47" s="3">
        <v>3.9239999999999999</v>
      </c>
      <c r="I47" s="2">
        <v>5847</v>
      </c>
    </row>
    <row r="48" spans="1:9" x14ac:dyDescent="0.2">
      <c r="A48" s="2" t="s">
        <v>17</v>
      </c>
      <c r="B48" s="2">
        <v>12</v>
      </c>
      <c r="C48" s="2">
        <v>3</v>
      </c>
      <c r="D48" s="3">
        <v>3.2669999999999999</v>
      </c>
      <c r="E48" s="5">
        <f>1-Tabla1[[#This Row],[obj value]]/((Tabla1[[#This Row],[n]]*(Tabla1[[#This Row],[n]]-1))/2)</f>
        <v>0.95050000000000001</v>
      </c>
      <c r="F48" s="3">
        <v>1.7869999999999999</v>
      </c>
      <c r="G48" s="3">
        <f t="shared" si="1"/>
        <v>1.48</v>
      </c>
      <c r="H48" s="3">
        <v>14400</v>
      </c>
      <c r="I48" s="2">
        <v>39163844</v>
      </c>
    </row>
    <row r="49" spans="1:9" x14ac:dyDescent="0.2">
      <c r="A49" s="2" t="s">
        <v>17</v>
      </c>
      <c r="B49" s="2">
        <v>12</v>
      </c>
      <c r="C49" s="2">
        <v>4</v>
      </c>
      <c r="D49" s="3">
        <v>2.4319999999999999</v>
      </c>
      <c r="E49" s="5">
        <f>1-Tabla1[[#This Row],[obj value]]/((Tabla1[[#This Row],[n]]*(Tabla1[[#This Row],[n]]-1))/2)</f>
        <v>0.9631515151515152</v>
      </c>
      <c r="F49" s="3">
        <v>0.34899999999999998</v>
      </c>
      <c r="G49" s="3">
        <f t="shared" si="1"/>
        <v>2.0830000000000002</v>
      </c>
      <c r="H49" s="3">
        <v>14400</v>
      </c>
      <c r="I49" s="2">
        <v>95894959</v>
      </c>
    </row>
    <row r="50" spans="1:9" x14ac:dyDescent="0.2">
      <c r="A50" s="2" t="s">
        <v>18</v>
      </c>
      <c r="B50" s="2">
        <v>12</v>
      </c>
      <c r="C50" s="2">
        <v>1</v>
      </c>
      <c r="D50" s="3">
        <v>18.7</v>
      </c>
      <c r="E50" s="5">
        <f>1-Tabla1[[#This Row],[obj value]]/((Tabla1[[#This Row],[n]]*(Tabla1[[#This Row],[n]]-1))/2)</f>
        <v>0.71666666666666667</v>
      </c>
      <c r="F50" s="3">
        <v>18.7</v>
      </c>
      <c r="G50" s="3">
        <f t="shared" si="1"/>
        <v>0</v>
      </c>
      <c r="H50" s="3">
        <v>5.0000000000000001E-3</v>
      </c>
      <c r="I50" s="2">
        <v>1</v>
      </c>
    </row>
    <row r="51" spans="1:9" x14ac:dyDescent="0.2">
      <c r="A51" s="2" t="s">
        <v>18</v>
      </c>
      <c r="B51" s="2">
        <v>12</v>
      </c>
      <c r="C51" s="2">
        <v>2</v>
      </c>
      <c r="D51" s="3">
        <v>6.6239999999999997</v>
      </c>
      <c r="E51" s="5">
        <f>1-Tabla1[[#This Row],[obj value]]/((Tabla1[[#This Row],[n]]*(Tabla1[[#This Row],[n]]-1))/2)</f>
        <v>0.89963636363636368</v>
      </c>
      <c r="F51" s="3">
        <v>6.6239999999999997</v>
      </c>
      <c r="G51" s="3">
        <f t="shared" si="1"/>
        <v>0</v>
      </c>
      <c r="H51" s="3">
        <v>2.9359999999999999</v>
      </c>
      <c r="I51" s="2">
        <v>12133</v>
      </c>
    </row>
    <row r="52" spans="1:9" x14ac:dyDescent="0.2">
      <c r="A52" s="2" t="s">
        <v>18</v>
      </c>
      <c r="B52" s="2">
        <v>12</v>
      </c>
      <c r="C52" s="2">
        <v>3</v>
      </c>
      <c r="D52" s="3">
        <v>1.8109999999999999</v>
      </c>
      <c r="E52" s="5">
        <f>1-Tabla1[[#This Row],[obj value]]/((Tabla1[[#This Row],[n]]*(Tabla1[[#This Row],[n]]-1))/2)</f>
        <v>0.97256060606060601</v>
      </c>
      <c r="F52" s="3">
        <v>1.8109999999999999</v>
      </c>
      <c r="G52" s="3">
        <f t="shared" si="1"/>
        <v>0</v>
      </c>
      <c r="H52" s="3">
        <v>186.03899999999999</v>
      </c>
      <c r="I52" s="2">
        <v>1348320</v>
      </c>
    </row>
    <row r="53" spans="1:9" x14ac:dyDescent="0.2">
      <c r="A53" s="2" t="s">
        <v>18</v>
      </c>
      <c r="B53" s="2">
        <v>12</v>
      </c>
      <c r="C53" s="2">
        <v>4</v>
      </c>
      <c r="D53" s="3">
        <v>0.67600000000000005</v>
      </c>
      <c r="E53" s="5">
        <f>1-Tabla1[[#This Row],[obj value]]/((Tabla1[[#This Row],[n]]*(Tabla1[[#This Row],[n]]-1))/2)</f>
        <v>0.98975757575757572</v>
      </c>
      <c r="F53" s="3">
        <v>0.67600000000000005</v>
      </c>
      <c r="G53" s="3">
        <f t="shared" si="1"/>
        <v>0</v>
      </c>
      <c r="H53" s="3">
        <v>346.97399999999999</v>
      </c>
      <c r="I53" s="2">
        <v>1298789</v>
      </c>
    </row>
    <row r="54" spans="1:9" x14ac:dyDescent="0.2">
      <c r="A54" s="2" t="s">
        <v>19</v>
      </c>
      <c r="B54" s="2">
        <v>12</v>
      </c>
      <c r="C54" s="2">
        <v>1</v>
      </c>
      <c r="D54" s="3">
        <v>19.850000000000001</v>
      </c>
      <c r="E54" s="5">
        <f>1-Tabla1[[#This Row],[obj value]]/((Tabla1[[#This Row],[n]]*(Tabla1[[#This Row],[n]]-1))/2)</f>
        <v>0.69924242424242422</v>
      </c>
      <c r="F54" s="3">
        <v>19.850000000000001</v>
      </c>
      <c r="G54" s="3">
        <f t="shared" si="1"/>
        <v>0</v>
      </c>
      <c r="H54" s="3">
        <v>5.0000000000000001E-3</v>
      </c>
      <c r="I54" s="2">
        <v>1</v>
      </c>
    </row>
    <row r="55" spans="1:9" x14ac:dyDescent="0.2">
      <c r="A55" s="2" t="s">
        <v>19</v>
      </c>
      <c r="B55" s="2">
        <v>12</v>
      </c>
      <c r="C55" s="2">
        <v>2</v>
      </c>
      <c r="D55" s="3">
        <v>7.1820000000000004</v>
      </c>
      <c r="E55" s="5">
        <f>1-Tabla1[[#This Row],[obj value]]/((Tabla1[[#This Row],[n]]*(Tabla1[[#This Row],[n]]-1))/2)</f>
        <v>0.89118181818181819</v>
      </c>
      <c r="F55" s="3">
        <v>7.1820000000000004</v>
      </c>
      <c r="G55" s="3">
        <f t="shared" si="1"/>
        <v>0</v>
      </c>
      <c r="H55" s="3">
        <v>20.507999999999999</v>
      </c>
      <c r="I55" s="2">
        <v>30910</v>
      </c>
    </row>
    <row r="56" spans="1:9" x14ac:dyDescent="0.2">
      <c r="A56" s="2" t="s">
        <v>19</v>
      </c>
      <c r="B56" s="2">
        <v>12</v>
      </c>
      <c r="C56" s="2">
        <v>3</v>
      </c>
      <c r="D56" s="3">
        <v>2.2959999999999998</v>
      </c>
      <c r="E56" s="5">
        <f>1-Tabla1[[#This Row],[obj value]]/((Tabla1[[#This Row],[n]]*(Tabla1[[#This Row],[n]]-1))/2)</f>
        <v>0.96521212121212119</v>
      </c>
      <c r="F56" s="3">
        <v>2.2959999999999998</v>
      </c>
      <c r="G56" s="3">
        <f t="shared" si="1"/>
        <v>0</v>
      </c>
      <c r="H56" s="3">
        <v>2145.9830000000002</v>
      </c>
      <c r="I56" s="2">
        <v>2947190</v>
      </c>
    </row>
    <row r="57" spans="1:9" x14ac:dyDescent="0.2">
      <c r="A57" s="2" t="s">
        <v>19</v>
      </c>
      <c r="B57" s="2">
        <v>12</v>
      </c>
      <c r="C57" s="2">
        <v>4</v>
      </c>
      <c r="D57" s="3">
        <v>0.79400000000000004</v>
      </c>
      <c r="E57" s="5">
        <f>1-Tabla1[[#This Row],[obj value]]/((Tabla1[[#This Row],[n]]*(Tabla1[[#This Row],[n]]-1))/2)</f>
        <v>0.98796969696969694</v>
      </c>
      <c r="F57" s="3">
        <v>0.79400000000000004</v>
      </c>
      <c r="G57" s="3">
        <f t="shared" si="1"/>
        <v>0</v>
      </c>
      <c r="H57" s="3">
        <v>9312.4599999999991</v>
      </c>
      <c r="I57" s="2">
        <v>55590127</v>
      </c>
    </row>
    <row r="58" spans="1:9" x14ac:dyDescent="0.2">
      <c r="A58" s="2" t="s">
        <v>20</v>
      </c>
      <c r="B58" s="2">
        <v>12</v>
      </c>
      <c r="C58" s="2">
        <v>1</v>
      </c>
      <c r="D58" s="3">
        <v>17.957000000000001</v>
      </c>
      <c r="E58" s="5">
        <f>1-Tabla1[[#This Row],[obj value]]/((Tabla1[[#This Row],[n]]*(Tabla1[[#This Row],[n]]-1))/2)</f>
        <v>0.72792424242424247</v>
      </c>
      <c r="F58" s="3">
        <v>17.957000000000001</v>
      </c>
      <c r="G58" s="3">
        <f t="shared" si="1"/>
        <v>0</v>
      </c>
      <c r="H58" s="3">
        <v>5.0000000000000001E-3</v>
      </c>
      <c r="I58" s="2">
        <v>1</v>
      </c>
    </row>
    <row r="59" spans="1:9" x14ac:dyDescent="0.2">
      <c r="A59" s="2" t="s">
        <v>20</v>
      </c>
      <c r="B59" s="2">
        <v>12</v>
      </c>
      <c r="C59" s="2">
        <v>2</v>
      </c>
      <c r="D59" s="3">
        <v>6.7510000000000003</v>
      </c>
      <c r="E59" s="5">
        <f>1-Tabla1[[#This Row],[obj value]]/((Tabla1[[#This Row],[n]]*(Tabla1[[#This Row],[n]]-1))/2)</f>
        <v>0.89771212121212118</v>
      </c>
      <c r="F59" s="3">
        <v>6.7510000000000003</v>
      </c>
      <c r="G59" s="3">
        <f t="shared" si="1"/>
        <v>0</v>
      </c>
      <c r="H59" s="3">
        <v>6.8879999999999999</v>
      </c>
      <c r="I59" s="2">
        <v>19748</v>
      </c>
    </row>
    <row r="60" spans="1:9" x14ac:dyDescent="0.2">
      <c r="A60" s="2" t="s">
        <v>20</v>
      </c>
      <c r="B60" s="2">
        <v>12</v>
      </c>
      <c r="C60" s="2">
        <v>3</v>
      </c>
      <c r="D60" s="3">
        <v>3.0089999999999999</v>
      </c>
      <c r="E60" s="5">
        <f>1-Tabla1[[#This Row],[obj value]]/((Tabla1[[#This Row],[n]]*(Tabla1[[#This Row],[n]]-1))/2)</f>
        <v>0.95440909090909087</v>
      </c>
      <c r="F60" s="3">
        <v>2.3279999999999998</v>
      </c>
      <c r="G60" s="3">
        <f t="shared" si="1"/>
        <v>0.68100000000000005</v>
      </c>
      <c r="H60" s="3">
        <v>14400</v>
      </c>
      <c r="I60" s="2">
        <v>105785800</v>
      </c>
    </row>
    <row r="61" spans="1:9" x14ac:dyDescent="0.2">
      <c r="A61" s="2" t="s">
        <v>20</v>
      </c>
      <c r="B61" s="2">
        <v>12</v>
      </c>
      <c r="C61" s="2">
        <v>4</v>
      </c>
      <c r="D61" s="3">
        <v>1.8939999999999999</v>
      </c>
      <c r="E61" s="5">
        <f>1-Tabla1[[#This Row],[obj value]]/((Tabla1[[#This Row],[n]]*(Tabla1[[#This Row],[n]]-1))/2)</f>
        <v>0.97130303030303033</v>
      </c>
      <c r="F61" s="3">
        <v>0.85</v>
      </c>
      <c r="G61" s="3">
        <f t="shared" si="1"/>
        <v>1.044</v>
      </c>
      <c r="H61" s="3">
        <v>14400</v>
      </c>
      <c r="I61" s="2">
        <v>94102640</v>
      </c>
    </row>
    <row r="62" spans="1:9" x14ac:dyDescent="0.2">
      <c r="A62" s="2" t="s">
        <v>21</v>
      </c>
      <c r="B62" s="2">
        <v>12</v>
      </c>
      <c r="C62" s="2">
        <v>1</v>
      </c>
      <c r="D62" s="3">
        <v>19.943999999999999</v>
      </c>
      <c r="E62" s="5">
        <f>1-Tabla1[[#This Row],[obj value]]/((Tabla1[[#This Row],[n]]*(Tabla1[[#This Row],[n]]-1))/2)</f>
        <v>0.69781818181818189</v>
      </c>
      <c r="F62" s="3">
        <v>19.943999999999999</v>
      </c>
      <c r="G62" s="3">
        <f t="shared" si="1"/>
        <v>0</v>
      </c>
      <c r="H62" s="3">
        <v>5.0000000000000001E-3</v>
      </c>
      <c r="I62" s="2">
        <v>1</v>
      </c>
    </row>
    <row r="63" spans="1:9" x14ac:dyDescent="0.2">
      <c r="A63" s="2" t="s">
        <v>21</v>
      </c>
      <c r="B63" s="2">
        <v>12</v>
      </c>
      <c r="C63" s="2">
        <v>2</v>
      </c>
      <c r="D63" s="3">
        <v>5.8159999999999998</v>
      </c>
      <c r="E63" s="5">
        <f>1-Tabla1[[#This Row],[obj value]]/((Tabla1[[#This Row],[n]]*(Tabla1[[#This Row],[n]]-1))/2)</f>
        <v>0.91187878787878784</v>
      </c>
      <c r="F63" s="3">
        <v>5.8159999999999998</v>
      </c>
      <c r="G63" s="3">
        <f t="shared" si="1"/>
        <v>0</v>
      </c>
      <c r="H63" s="3">
        <v>3.1680000000000001</v>
      </c>
      <c r="I63" s="2">
        <v>3576</v>
      </c>
    </row>
    <row r="64" spans="1:9" x14ac:dyDescent="0.2">
      <c r="A64" s="2" t="s">
        <v>21</v>
      </c>
      <c r="B64" s="2">
        <v>12</v>
      </c>
      <c r="C64" s="2">
        <v>3</v>
      </c>
      <c r="D64" s="3">
        <v>2.8639999999999999</v>
      </c>
      <c r="E64" s="5">
        <f>1-Tabla1[[#This Row],[obj value]]/((Tabla1[[#This Row],[n]]*(Tabla1[[#This Row],[n]]-1))/2)</f>
        <v>0.95660606060606057</v>
      </c>
      <c r="F64" s="3">
        <v>2.1589999999999998</v>
      </c>
      <c r="G64" s="3">
        <f t="shared" si="1"/>
        <v>0.70500000000000007</v>
      </c>
      <c r="H64" s="3">
        <v>14400</v>
      </c>
      <c r="I64" s="2">
        <v>10562956</v>
      </c>
    </row>
    <row r="65" spans="1:9" x14ac:dyDescent="0.2">
      <c r="A65" s="2" t="s">
        <v>21</v>
      </c>
      <c r="B65" s="2">
        <v>12</v>
      </c>
      <c r="C65" s="2">
        <v>4</v>
      </c>
      <c r="D65" s="3">
        <v>1.8620000000000001</v>
      </c>
      <c r="E65" s="5">
        <f>1-Tabla1[[#This Row],[obj value]]/((Tabla1[[#This Row],[n]]*(Tabla1[[#This Row],[n]]-1))/2)</f>
        <v>0.97178787878787876</v>
      </c>
      <c r="F65" s="3">
        <v>0.45400000000000001</v>
      </c>
      <c r="G65" s="3">
        <f t="shared" si="1"/>
        <v>1.4080000000000001</v>
      </c>
      <c r="H65" s="3">
        <v>14400</v>
      </c>
      <c r="I65" s="2">
        <v>99677282</v>
      </c>
    </row>
    <row r="66" spans="1:9" x14ac:dyDescent="0.2">
      <c r="A66" s="2" t="s">
        <v>22</v>
      </c>
      <c r="B66" s="2">
        <v>12</v>
      </c>
      <c r="C66" s="2">
        <v>1</v>
      </c>
      <c r="D66" s="3">
        <v>18.728000000000002</v>
      </c>
      <c r="E66" s="5">
        <f>1-Tabla1[[#This Row],[obj value]]/((Tabla1[[#This Row],[n]]*(Tabla1[[#This Row],[n]]-1))/2)</f>
        <v>0.71624242424242424</v>
      </c>
      <c r="F66" s="3">
        <v>18.728000000000002</v>
      </c>
      <c r="G66" s="3">
        <f t="shared" ref="G66:G97" si="2">ABS(D66-F66)</f>
        <v>0</v>
      </c>
      <c r="H66" s="3">
        <v>5.0000000000000001E-3</v>
      </c>
      <c r="I66" s="2">
        <v>1</v>
      </c>
    </row>
    <row r="67" spans="1:9" x14ac:dyDescent="0.2">
      <c r="A67" s="2" t="s">
        <v>22</v>
      </c>
      <c r="B67" s="2">
        <v>12</v>
      </c>
      <c r="C67" s="2">
        <v>2</v>
      </c>
      <c r="D67" s="3">
        <v>6.8330000000000002</v>
      </c>
      <c r="E67" s="5">
        <f>1-Tabla1[[#This Row],[obj value]]/((Tabla1[[#This Row],[n]]*(Tabla1[[#This Row],[n]]-1))/2)</f>
        <v>0.89646969696969703</v>
      </c>
      <c r="F67" s="3">
        <v>6.8330000000000002</v>
      </c>
      <c r="G67" s="3">
        <f t="shared" si="2"/>
        <v>0</v>
      </c>
      <c r="H67" s="3">
        <v>14.875999999999999</v>
      </c>
      <c r="I67" s="2">
        <v>29516</v>
      </c>
    </row>
    <row r="68" spans="1:9" x14ac:dyDescent="0.2">
      <c r="A68" s="2" t="s">
        <v>22</v>
      </c>
      <c r="B68" s="2">
        <v>12</v>
      </c>
      <c r="C68" s="2">
        <v>3</v>
      </c>
      <c r="D68" s="3">
        <v>3.2120000000000002</v>
      </c>
      <c r="E68" s="5">
        <f>1-Tabla1[[#This Row],[obj value]]/((Tabla1[[#This Row],[n]]*(Tabla1[[#This Row],[n]]-1))/2)</f>
        <v>0.95133333333333336</v>
      </c>
      <c r="F68" s="3">
        <v>1.9279999999999999</v>
      </c>
      <c r="G68" s="3">
        <f t="shared" si="2"/>
        <v>1.2840000000000003</v>
      </c>
      <c r="H68" s="3">
        <v>14400</v>
      </c>
      <c r="I68" s="2">
        <v>123860749</v>
      </c>
    </row>
    <row r="69" spans="1:9" x14ac:dyDescent="0.2">
      <c r="A69" s="2" t="s">
        <v>22</v>
      </c>
      <c r="B69" s="2">
        <v>12</v>
      </c>
      <c r="C69" s="2">
        <v>4</v>
      </c>
      <c r="D69" s="3">
        <v>2.2890000000000001</v>
      </c>
      <c r="E69" s="5">
        <f>1-Tabla1[[#This Row],[obj value]]/((Tabla1[[#This Row],[n]]*(Tabla1[[#This Row],[n]]-1))/2)</f>
        <v>0.96531818181818185</v>
      </c>
      <c r="F69" s="3">
        <v>0.52600000000000002</v>
      </c>
      <c r="G69" s="3">
        <f t="shared" si="2"/>
        <v>1.7630000000000001</v>
      </c>
      <c r="H69" s="3">
        <v>14400</v>
      </c>
      <c r="I69" s="2">
        <v>103122257</v>
      </c>
    </row>
    <row r="70" spans="1:9" x14ac:dyDescent="0.2">
      <c r="A70" s="2" t="s">
        <v>23</v>
      </c>
      <c r="B70" s="2">
        <v>12</v>
      </c>
      <c r="C70" s="2">
        <v>1</v>
      </c>
      <c r="D70" s="3">
        <v>21.512</v>
      </c>
      <c r="E70" s="5">
        <f>1-Tabla1[[#This Row],[obj value]]/((Tabla1[[#This Row],[n]]*(Tabla1[[#This Row],[n]]-1))/2)</f>
        <v>0.67406060606060603</v>
      </c>
      <c r="F70" s="3">
        <v>21.512</v>
      </c>
      <c r="G70" s="3">
        <f t="shared" si="2"/>
        <v>0</v>
      </c>
      <c r="H70" s="3">
        <v>5.0000000000000001E-3</v>
      </c>
      <c r="I70" s="2">
        <v>1</v>
      </c>
    </row>
    <row r="71" spans="1:9" x14ac:dyDescent="0.2">
      <c r="A71" s="2" t="s">
        <v>23</v>
      </c>
      <c r="B71" s="2">
        <v>12</v>
      </c>
      <c r="C71" s="2">
        <v>2</v>
      </c>
      <c r="D71" s="3">
        <v>6.0720000000000001</v>
      </c>
      <c r="E71" s="5">
        <f>1-Tabla1[[#This Row],[obj value]]/((Tabla1[[#This Row],[n]]*(Tabla1[[#This Row],[n]]-1))/2)</f>
        <v>0.90800000000000003</v>
      </c>
      <c r="F71" s="3">
        <v>6.0720000000000001</v>
      </c>
      <c r="G71" s="3">
        <f t="shared" si="2"/>
        <v>0</v>
      </c>
      <c r="H71" s="3">
        <v>14.747999999999999</v>
      </c>
      <c r="I71" s="2">
        <v>31763</v>
      </c>
    </row>
    <row r="72" spans="1:9" x14ac:dyDescent="0.2">
      <c r="A72" s="2" t="s">
        <v>23</v>
      </c>
      <c r="B72" s="2">
        <v>12</v>
      </c>
      <c r="C72" s="2">
        <v>3</v>
      </c>
      <c r="D72" s="3">
        <v>3.07</v>
      </c>
      <c r="E72" s="5">
        <f>1-Tabla1[[#This Row],[obj value]]/((Tabla1[[#This Row],[n]]*(Tabla1[[#This Row],[n]]-1))/2)</f>
        <v>0.95348484848484849</v>
      </c>
      <c r="F72" s="3">
        <v>1.696</v>
      </c>
      <c r="G72" s="3">
        <f t="shared" si="2"/>
        <v>1.3739999999999999</v>
      </c>
      <c r="H72" s="3">
        <v>14400</v>
      </c>
      <c r="I72" s="2">
        <v>130675003</v>
      </c>
    </row>
    <row r="73" spans="1:9" x14ac:dyDescent="0.2">
      <c r="A73" s="2" t="s">
        <v>23</v>
      </c>
      <c r="B73" s="2">
        <v>12</v>
      </c>
      <c r="C73" s="2">
        <v>4</v>
      </c>
      <c r="D73" s="3">
        <v>2.1779999999999999</v>
      </c>
      <c r="E73" s="5">
        <f>1-Tabla1[[#This Row],[obj value]]/((Tabla1[[#This Row],[n]]*(Tabla1[[#This Row],[n]]-1))/2)</f>
        <v>0.96699999999999997</v>
      </c>
      <c r="F73" s="3">
        <v>0.30199999999999999</v>
      </c>
      <c r="G73" s="3">
        <f t="shared" si="2"/>
        <v>1.8759999999999999</v>
      </c>
      <c r="H73" s="3">
        <v>14400</v>
      </c>
      <c r="I73" s="2">
        <v>97125034</v>
      </c>
    </row>
    <row r="74" spans="1:9" x14ac:dyDescent="0.2">
      <c r="A74" s="2" t="s">
        <v>24</v>
      </c>
      <c r="B74" s="2">
        <v>24</v>
      </c>
      <c r="C74" s="2">
        <v>1</v>
      </c>
      <c r="D74" s="3">
        <v>48.173000000000002</v>
      </c>
      <c r="E74" s="5">
        <f>1-Tabla1[[#This Row],[obj value]]/((Tabla1[[#This Row],[n]]*(Tabla1[[#This Row],[n]]-1))/2)</f>
        <v>0.82546014492753628</v>
      </c>
      <c r="F74" s="3">
        <v>48.173000000000002</v>
      </c>
      <c r="G74" s="3">
        <f t="shared" si="2"/>
        <v>0</v>
      </c>
      <c r="H74" s="3">
        <v>3.4000000000000002E-2</v>
      </c>
      <c r="I74" s="2">
        <v>1</v>
      </c>
    </row>
    <row r="75" spans="1:9" x14ac:dyDescent="0.2">
      <c r="A75" s="2" t="s">
        <v>24</v>
      </c>
      <c r="B75" s="2">
        <v>24</v>
      </c>
      <c r="C75" s="2">
        <v>2</v>
      </c>
      <c r="D75" s="3">
        <v>2.6080000000000001</v>
      </c>
      <c r="E75" s="5">
        <f>1-Tabla1[[#This Row],[obj value]]/((Tabla1[[#This Row],[n]]*(Tabla1[[#This Row],[n]]-1))/2)</f>
        <v>0.99055072463768112</v>
      </c>
      <c r="F75" s="3">
        <v>2.6080000000000001</v>
      </c>
      <c r="G75" s="3">
        <f t="shared" si="2"/>
        <v>0</v>
      </c>
      <c r="H75" s="3">
        <v>1.8080000000000001</v>
      </c>
      <c r="I75" s="2">
        <v>1</v>
      </c>
    </row>
    <row r="76" spans="1:9" x14ac:dyDescent="0.2">
      <c r="A76" s="2" t="s">
        <v>24</v>
      </c>
      <c r="B76" s="2">
        <v>24</v>
      </c>
      <c r="C76" s="2">
        <v>3</v>
      </c>
      <c r="D76" s="3">
        <v>1.83</v>
      </c>
      <c r="E76" s="5">
        <f>1-Tabla1[[#This Row],[obj value]]/((Tabla1[[#This Row],[n]]*(Tabla1[[#This Row],[n]]-1))/2)</f>
        <v>0.99336956521739128</v>
      </c>
      <c r="F76" s="3">
        <v>1.1160000000000001</v>
      </c>
      <c r="G76" s="3">
        <f t="shared" si="2"/>
        <v>0.71399999999999997</v>
      </c>
      <c r="H76" s="3">
        <v>14400</v>
      </c>
      <c r="I76" s="2">
        <v>3195717</v>
      </c>
    </row>
    <row r="77" spans="1:9" x14ac:dyDescent="0.2">
      <c r="A77" s="2" t="s">
        <v>24</v>
      </c>
      <c r="B77" s="2">
        <v>24</v>
      </c>
      <c r="C77" s="2">
        <v>4</v>
      </c>
      <c r="D77" s="3">
        <v>1.4410000000000001</v>
      </c>
      <c r="E77" s="5">
        <f>1-Tabla1[[#This Row],[obj value]]/((Tabla1[[#This Row],[n]]*(Tabla1[[#This Row],[n]]-1))/2)</f>
        <v>0.99477898550724642</v>
      </c>
      <c r="F77" s="3">
        <v>0.253</v>
      </c>
      <c r="G77" s="3">
        <f t="shared" si="2"/>
        <v>1.1880000000000002</v>
      </c>
      <c r="H77" s="3">
        <v>14400</v>
      </c>
      <c r="I77" s="2">
        <v>4382360</v>
      </c>
    </row>
    <row r="78" spans="1:9" x14ac:dyDescent="0.2">
      <c r="A78" s="2" t="s">
        <v>25</v>
      </c>
      <c r="B78" s="2">
        <v>24</v>
      </c>
      <c r="C78" s="2">
        <v>1</v>
      </c>
      <c r="D78" s="3">
        <v>54.118000000000002</v>
      </c>
      <c r="E78" s="5">
        <f>1-Tabla1[[#This Row],[obj value]]/((Tabla1[[#This Row],[n]]*(Tabla1[[#This Row],[n]]-1))/2)</f>
        <v>0.80392028985507247</v>
      </c>
      <c r="F78" s="3">
        <v>54.118000000000002</v>
      </c>
      <c r="G78" s="3">
        <f t="shared" si="2"/>
        <v>0</v>
      </c>
      <c r="H78" s="3">
        <v>2.8000000000000001E-2</v>
      </c>
      <c r="I78" s="2">
        <v>1</v>
      </c>
    </row>
    <row r="79" spans="1:9" x14ac:dyDescent="0.2">
      <c r="A79" s="2" t="s">
        <v>25</v>
      </c>
      <c r="B79" s="2">
        <v>24</v>
      </c>
      <c r="C79" s="2">
        <v>2</v>
      </c>
      <c r="D79" s="3">
        <v>2.472</v>
      </c>
      <c r="E79" s="5">
        <f>1-Tabla1[[#This Row],[obj value]]/((Tabla1[[#This Row],[n]]*(Tabla1[[#This Row],[n]]-1))/2)</f>
        <v>0.99104347826086958</v>
      </c>
      <c r="F79" s="3">
        <v>2.472</v>
      </c>
      <c r="G79" s="3">
        <f t="shared" si="2"/>
        <v>0</v>
      </c>
      <c r="H79" s="3">
        <v>2.0859999999999999</v>
      </c>
      <c r="I79" s="2">
        <v>133</v>
      </c>
    </row>
    <row r="80" spans="1:9" x14ac:dyDescent="0.2">
      <c r="A80" s="2" t="s">
        <v>25</v>
      </c>
      <c r="B80" s="2">
        <v>24</v>
      </c>
      <c r="C80" s="2">
        <v>3</v>
      </c>
      <c r="D80" s="3">
        <v>1.679</v>
      </c>
      <c r="E80" s="5">
        <f>1-Tabla1[[#This Row],[obj value]]/((Tabla1[[#This Row],[n]]*(Tabla1[[#This Row],[n]]-1))/2)</f>
        <v>0.99391666666666667</v>
      </c>
      <c r="F80" s="3">
        <v>1.679</v>
      </c>
      <c r="G80" s="3">
        <f t="shared" si="2"/>
        <v>0</v>
      </c>
      <c r="H80" s="3">
        <v>8083.9520000000002</v>
      </c>
      <c r="I80" s="2">
        <v>796479</v>
      </c>
    </row>
    <row r="81" spans="1:9" x14ac:dyDescent="0.2">
      <c r="A81" s="2" t="s">
        <v>25</v>
      </c>
      <c r="B81" s="2">
        <v>24</v>
      </c>
      <c r="C81" s="2">
        <v>4</v>
      </c>
      <c r="D81" s="3">
        <v>0.91800000000000004</v>
      </c>
      <c r="E81" s="5">
        <f>1-Tabla1[[#This Row],[obj value]]/((Tabla1[[#This Row],[n]]*(Tabla1[[#This Row],[n]]-1))/2)</f>
        <v>0.9966739130434783</v>
      </c>
      <c r="F81" s="3">
        <v>0.2</v>
      </c>
      <c r="G81" s="3">
        <f t="shared" si="2"/>
        <v>0.71799999999999997</v>
      </c>
      <c r="H81" s="3">
        <v>14400</v>
      </c>
      <c r="I81" s="2">
        <v>5132445</v>
      </c>
    </row>
    <row r="82" spans="1:9" x14ac:dyDescent="0.2">
      <c r="A82" s="2" t="s">
        <v>26</v>
      </c>
      <c r="B82" s="2">
        <v>24</v>
      </c>
      <c r="C82" s="2">
        <v>1</v>
      </c>
      <c r="D82" s="3">
        <v>51.29</v>
      </c>
      <c r="E82" s="5">
        <f>1-Tabla1[[#This Row],[obj value]]/((Tabla1[[#This Row],[n]]*(Tabla1[[#This Row],[n]]-1))/2)</f>
        <v>0.81416666666666671</v>
      </c>
      <c r="F82" s="3">
        <v>51.29</v>
      </c>
      <c r="G82" s="3">
        <f t="shared" si="2"/>
        <v>0</v>
      </c>
      <c r="H82" s="3">
        <v>4.5999999999999999E-2</v>
      </c>
      <c r="I82" s="2">
        <v>1</v>
      </c>
    </row>
    <row r="83" spans="1:9" x14ac:dyDescent="0.2">
      <c r="A83" s="2" t="s">
        <v>26</v>
      </c>
      <c r="B83" s="2">
        <v>24</v>
      </c>
      <c r="C83" s="2">
        <v>2</v>
      </c>
      <c r="D83" s="3">
        <v>9.3659999999999997</v>
      </c>
      <c r="E83" s="5">
        <f>1-Tabla1[[#This Row],[obj value]]/((Tabla1[[#This Row],[n]]*(Tabla1[[#This Row],[n]]-1))/2)</f>
        <v>0.96606521739130435</v>
      </c>
      <c r="F83" s="3">
        <v>9.3659999999999997</v>
      </c>
      <c r="G83" s="3">
        <f t="shared" si="2"/>
        <v>0</v>
      </c>
      <c r="H83" s="3">
        <v>43.661999999999999</v>
      </c>
      <c r="I83" s="2">
        <v>2238</v>
      </c>
    </row>
    <row r="84" spans="1:9" x14ac:dyDescent="0.2">
      <c r="A84" s="2" t="s">
        <v>26</v>
      </c>
      <c r="B84" s="2">
        <v>24</v>
      </c>
      <c r="C84" s="2">
        <v>3</v>
      </c>
      <c r="D84" s="3">
        <v>6.649</v>
      </c>
      <c r="E84" s="5">
        <f>1-Tabla1[[#This Row],[obj value]]/((Tabla1[[#This Row],[n]]*(Tabla1[[#This Row],[n]]-1))/2)</f>
        <v>0.97590942028985506</v>
      </c>
      <c r="F84" s="3">
        <v>2.9929999999999999</v>
      </c>
      <c r="G84" s="3">
        <f t="shared" si="2"/>
        <v>3.6560000000000001</v>
      </c>
      <c r="H84" s="3">
        <v>14400</v>
      </c>
      <c r="I84" s="2">
        <v>215383</v>
      </c>
    </row>
    <row r="85" spans="1:9" x14ac:dyDescent="0.2">
      <c r="A85" s="2" t="s">
        <v>26</v>
      </c>
      <c r="B85" s="2">
        <v>24</v>
      </c>
      <c r="C85" s="2">
        <v>4</v>
      </c>
      <c r="D85" s="3">
        <v>5.0860000000000003</v>
      </c>
      <c r="E85" s="5">
        <f>1-Tabla1[[#This Row],[obj value]]/((Tabla1[[#This Row],[n]]*(Tabla1[[#This Row],[n]]-1))/2)</f>
        <v>0.98157246376811591</v>
      </c>
      <c r="F85" s="3">
        <v>0.222</v>
      </c>
      <c r="G85" s="3">
        <f t="shared" si="2"/>
        <v>4.8639999999999999</v>
      </c>
      <c r="H85" s="3">
        <v>14400</v>
      </c>
      <c r="I85" s="2">
        <v>2007695</v>
      </c>
    </row>
    <row r="86" spans="1:9" x14ac:dyDescent="0.2">
      <c r="A86" s="2" t="s">
        <v>27</v>
      </c>
      <c r="B86" s="2">
        <v>24</v>
      </c>
      <c r="C86" s="2">
        <v>1</v>
      </c>
      <c r="D86" s="3">
        <v>65.512</v>
      </c>
      <c r="E86" s="5">
        <f>1-Tabla1[[#This Row],[obj value]]/((Tabla1[[#This Row],[n]]*(Tabla1[[#This Row],[n]]-1))/2)</f>
        <v>0.76263768115942032</v>
      </c>
      <c r="F86" s="3">
        <v>65.512</v>
      </c>
      <c r="G86" s="3">
        <f t="shared" si="2"/>
        <v>0</v>
      </c>
      <c r="H86" s="3">
        <v>2.4E-2</v>
      </c>
      <c r="I86" s="2">
        <v>1</v>
      </c>
    </row>
    <row r="87" spans="1:9" x14ac:dyDescent="0.2">
      <c r="A87" s="2" t="s">
        <v>27</v>
      </c>
      <c r="B87" s="2">
        <v>24</v>
      </c>
      <c r="C87" s="2">
        <v>2</v>
      </c>
      <c r="D87" s="3">
        <v>10.012</v>
      </c>
      <c r="E87" s="5">
        <f>1-Tabla1[[#This Row],[obj value]]/((Tabla1[[#This Row],[n]]*(Tabla1[[#This Row],[n]]-1))/2)</f>
        <v>0.96372463768115946</v>
      </c>
      <c r="F87" s="3">
        <v>10.012</v>
      </c>
      <c r="G87" s="3">
        <f t="shared" si="2"/>
        <v>0</v>
      </c>
      <c r="H87" s="3">
        <v>70.228999999999999</v>
      </c>
      <c r="I87" s="2">
        <v>3632</v>
      </c>
    </row>
    <row r="88" spans="1:9" x14ac:dyDescent="0.2">
      <c r="A88" s="2" t="s">
        <v>27</v>
      </c>
      <c r="B88" s="2">
        <v>24</v>
      </c>
      <c r="C88" s="2">
        <v>3</v>
      </c>
      <c r="D88" s="3">
        <v>7.6420000000000003</v>
      </c>
      <c r="E88" s="5">
        <f>1-Tabla1[[#This Row],[obj value]]/((Tabla1[[#This Row],[n]]*(Tabla1[[#This Row],[n]]-1))/2)</f>
        <v>0.97231159420289859</v>
      </c>
      <c r="F88" s="3">
        <v>3.0289999999999999</v>
      </c>
      <c r="G88" s="3">
        <f t="shared" si="2"/>
        <v>4.6130000000000004</v>
      </c>
      <c r="H88" s="3">
        <v>14400</v>
      </c>
      <c r="I88" s="2">
        <v>235447</v>
      </c>
    </row>
    <row r="89" spans="1:9" x14ac:dyDescent="0.2">
      <c r="A89" s="2" t="s">
        <v>27</v>
      </c>
      <c r="B89" s="2">
        <v>24</v>
      </c>
      <c r="C89" s="2">
        <v>4</v>
      </c>
      <c r="D89" s="3">
        <v>4.9530000000000003</v>
      </c>
      <c r="E89" s="5">
        <f>1-Tabla1[[#This Row],[obj value]]/((Tabla1[[#This Row],[n]]*(Tabla1[[#This Row],[n]]-1))/2)</f>
        <v>0.98205434782608692</v>
      </c>
      <c r="F89" s="3">
        <v>0.161</v>
      </c>
      <c r="G89" s="3">
        <f t="shared" si="2"/>
        <v>4.7920000000000007</v>
      </c>
      <c r="H89" s="3">
        <v>14400</v>
      </c>
      <c r="I89" s="2">
        <v>2736024</v>
      </c>
    </row>
    <row r="90" spans="1:9" x14ac:dyDescent="0.2">
      <c r="A90" s="2" t="s">
        <v>28</v>
      </c>
      <c r="B90" s="2">
        <v>24</v>
      </c>
      <c r="C90" s="2">
        <v>1</v>
      </c>
      <c r="D90" s="3">
        <v>53.12</v>
      </c>
      <c r="E90" s="5">
        <f>1-Tabla1[[#This Row],[obj value]]/((Tabla1[[#This Row],[n]]*(Tabla1[[#This Row],[n]]-1))/2)</f>
        <v>0.80753623188405799</v>
      </c>
      <c r="F90" s="3">
        <v>53.12</v>
      </c>
      <c r="G90" s="3">
        <f t="shared" si="2"/>
        <v>0</v>
      </c>
      <c r="H90" s="3">
        <v>5.1999999999999998E-2</v>
      </c>
      <c r="I90" s="2">
        <v>1</v>
      </c>
    </row>
    <row r="91" spans="1:9" x14ac:dyDescent="0.2">
      <c r="A91" s="2" t="s">
        <v>28</v>
      </c>
      <c r="B91" s="2">
        <v>24</v>
      </c>
      <c r="C91" s="2">
        <v>2</v>
      </c>
      <c r="D91" s="3">
        <v>13.57</v>
      </c>
      <c r="E91" s="5">
        <f>1-Tabla1[[#This Row],[obj value]]/((Tabla1[[#This Row],[n]]*(Tabla1[[#This Row],[n]]-1))/2)</f>
        <v>0.95083333333333331</v>
      </c>
      <c r="F91" s="3">
        <v>13.57</v>
      </c>
      <c r="G91" s="3">
        <f t="shared" si="2"/>
        <v>0</v>
      </c>
      <c r="H91" s="3">
        <v>528.74800000000005</v>
      </c>
      <c r="I91" s="2">
        <v>34372</v>
      </c>
    </row>
    <row r="92" spans="1:9" x14ac:dyDescent="0.2">
      <c r="A92" s="2" t="s">
        <v>28</v>
      </c>
      <c r="B92" s="2">
        <v>24</v>
      </c>
      <c r="C92" s="2">
        <v>3</v>
      </c>
      <c r="D92" s="3">
        <v>9.1489999999999991</v>
      </c>
      <c r="E92" s="5">
        <f>1-Tabla1[[#This Row],[obj value]]/((Tabla1[[#This Row],[n]]*(Tabla1[[#This Row],[n]]-1))/2)</f>
        <v>0.96685144927536237</v>
      </c>
      <c r="F92" s="3">
        <v>2.7989999999999999</v>
      </c>
      <c r="G92" s="3">
        <f t="shared" si="2"/>
        <v>6.35</v>
      </c>
      <c r="H92" s="3">
        <v>14400</v>
      </c>
      <c r="I92" s="2">
        <v>211323</v>
      </c>
    </row>
    <row r="93" spans="1:9" x14ac:dyDescent="0.2">
      <c r="A93" s="2" t="s">
        <v>28</v>
      </c>
      <c r="B93" s="2">
        <v>24</v>
      </c>
      <c r="C93" s="2">
        <v>4</v>
      </c>
      <c r="D93" s="3">
        <v>6.9249999999999998</v>
      </c>
      <c r="E93" s="5">
        <f>1-Tabla1[[#This Row],[obj value]]/((Tabla1[[#This Row],[n]]*(Tabla1[[#This Row],[n]]-1))/2)</f>
        <v>0.97490942028985506</v>
      </c>
      <c r="F93" s="3">
        <v>0.15</v>
      </c>
      <c r="G93" s="3">
        <f t="shared" si="2"/>
        <v>6.7749999999999995</v>
      </c>
      <c r="H93" s="3">
        <v>14400</v>
      </c>
      <c r="I93" s="2">
        <v>3373483</v>
      </c>
    </row>
    <row r="94" spans="1:9" x14ac:dyDescent="0.2">
      <c r="A94" s="2" t="s">
        <v>29</v>
      </c>
      <c r="B94" s="2">
        <v>24</v>
      </c>
      <c r="C94" s="2">
        <v>1</v>
      </c>
      <c r="D94" s="3">
        <v>75.744</v>
      </c>
      <c r="E94" s="5">
        <f>1-Tabla1[[#This Row],[obj value]]/((Tabla1[[#This Row],[n]]*(Tabla1[[#This Row],[n]]-1))/2)</f>
        <v>0.72556521739130431</v>
      </c>
      <c r="F94" s="3">
        <v>75.744</v>
      </c>
      <c r="G94" s="3">
        <f t="shared" si="2"/>
        <v>0</v>
      </c>
      <c r="H94" s="3">
        <v>2.4E-2</v>
      </c>
      <c r="I94" s="2">
        <v>1</v>
      </c>
    </row>
    <row r="95" spans="1:9" x14ac:dyDescent="0.2">
      <c r="A95" s="2" t="s">
        <v>29</v>
      </c>
      <c r="B95" s="2">
        <v>24</v>
      </c>
      <c r="C95" s="2">
        <v>2</v>
      </c>
      <c r="D95" s="3">
        <v>13.928000000000001</v>
      </c>
      <c r="E95" s="5">
        <f>1-Tabla1[[#This Row],[obj value]]/((Tabla1[[#This Row],[n]]*(Tabla1[[#This Row],[n]]-1))/2)</f>
        <v>0.949536231884058</v>
      </c>
      <c r="F95" s="3">
        <v>13.928000000000001</v>
      </c>
      <c r="G95" s="3">
        <f t="shared" si="2"/>
        <v>0</v>
      </c>
      <c r="H95" s="3">
        <v>136.49799999999999</v>
      </c>
      <c r="I95" s="2">
        <v>5279</v>
      </c>
    </row>
    <row r="96" spans="1:9" x14ac:dyDescent="0.2">
      <c r="A96" s="2" t="s">
        <v>29</v>
      </c>
      <c r="B96" s="2">
        <v>24</v>
      </c>
      <c r="C96" s="2">
        <v>3</v>
      </c>
      <c r="D96" s="3">
        <v>10.358000000000001</v>
      </c>
      <c r="E96" s="5">
        <f>1-Tabla1[[#This Row],[obj value]]/((Tabla1[[#This Row],[n]]*(Tabla1[[#This Row],[n]]-1))/2)</f>
        <v>0.96247101449275363</v>
      </c>
      <c r="F96" s="3">
        <v>2.472</v>
      </c>
      <c r="G96" s="3">
        <f t="shared" si="2"/>
        <v>7.886000000000001</v>
      </c>
      <c r="H96" s="3">
        <v>14400</v>
      </c>
      <c r="I96" s="2">
        <v>535590</v>
      </c>
    </row>
    <row r="97" spans="1:9" x14ac:dyDescent="0.2">
      <c r="A97" s="2" t="s">
        <v>29</v>
      </c>
      <c r="B97" s="2">
        <v>24</v>
      </c>
      <c r="C97" s="2">
        <v>4</v>
      </c>
      <c r="D97" s="3">
        <v>7.1059999999999999</v>
      </c>
      <c r="E97" s="5">
        <f>1-Tabla1[[#This Row],[obj value]]/((Tabla1[[#This Row],[n]]*(Tabla1[[#This Row],[n]]-1))/2)</f>
        <v>0.9742536231884058</v>
      </c>
      <c r="F97" s="3">
        <v>0.13400000000000001</v>
      </c>
      <c r="G97" s="3">
        <f t="shared" si="2"/>
        <v>6.9719999999999995</v>
      </c>
      <c r="H97" s="3">
        <v>14400</v>
      </c>
      <c r="I97" s="2">
        <v>1261244</v>
      </c>
    </row>
    <row r="98" spans="1:9" x14ac:dyDescent="0.2">
      <c r="A98" s="2" t="s">
        <v>30</v>
      </c>
      <c r="B98" s="2">
        <v>24</v>
      </c>
      <c r="C98" s="2">
        <v>1</v>
      </c>
      <c r="D98" s="3">
        <v>63.710999999999999</v>
      </c>
      <c r="E98" s="5">
        <f>1-Tabla1[[#This Row],[obj value]]/((Tabla1[[#This Row],[n]]*(Tabla1[[#This Row],[n]]-1))/2)</f>
        <v>0.76916304347826081</v>
      </c>
      <c r="F98" s="3">
        <v>63.710999999999999</v>
      </c>
      <c r="G98" s="3">
        <f t="shared" ref="G98:G129" si="3">ABS(D98-F98)</f>
        <v>0</v>
      </c>
      <c r="H98" s="3">
        <v>0.05</v>
      </c>
      <c r="I98" s="2">
        <v>1</v>
      </c>
    </row>
    <row r="99" spans="1:9" x14ac:dyDescent="0.2">
      <c r="A99" s="2" t="s">
        <v>30</v>
      </c>
      <c r="B99" s="2">
        <v>24</v>
      </c>
      <c r="C99" s="2">
        <v>2</v>
      </c>
      <c r="D99" s="3">
        <v>19.300999999999998</v>
      </c>
      <c r="E99" s="5">
        <f>1-Tabla1[[#This Row],[obj value]]/((Tabla1[[#This Row],[n]]*(Tabla1[[#This Row],[n]]-1))/2)</f>
        <v>0.93006884057971018</v>
      </c>
      <c r="F99" s="3">
        <v>19.300999999999998</v>
      </c>
      <c r="G99" s="3">
        <f t="shared" si="3"/>
        <v>0</v>
      </c>
      <c r="H99" s="3">
        <v>947.80899999999997</v>
      </c>
      <c r="I99" s="2">
        <v>46490</v>
      </c>
    </row>
    <row r="100" spans="1:9" x14ac:dyDescent="0.2">
      <c r="A100" s="2" t="s">
        <v>30</v>
      </c>
      <c r="B100" s="2">
        <v>24</v>
      </c>
      <c r="C100" s="2">
        <v>3</v>
      </c>
      <c r="D100" s="3">
        <v>2.657</v>
      </c>
      <c r="E100" s="5">
        <f>1-Tabla1[[#This Row],[obj value]]/((Tabla1[[#This Row],[n]]*(Tabla1[[#This Row],[n]]-1))/2)</f>
        <v>0.99037318840579713</v>
      </c>
      <c r="F100" s="3">
        <v>2.5019999999999998</v>
      </c>
      <c r="G100" s="3">
        <f t="shared" si="3"/>
        <v>0.15500000000000025</v>
      </c>
      <c r="H100" s="3">
        <v>14400</v>
      </c>
      <c r="I100" s="2">
        <v>101199</v>
      </c>
    </row>
    <row r="101" spans="1:9" x14ac:dyDescent="0.2">
      <c r="A101" s="2" t="s">
        <v>30</v>
      </c>
      <c r="B101" s="2">
        <v>24</v>
      </c>
      <c r="C101" s="2">
        <v>4</v>
      </c>
      <c r="D101" s="3">
        <v>1.978</v>
      </c>
      <c r="E101" s="5">
        <f>1-Tabla1[[#This Row],[obj value]]/((Tabla1[[#This Row],[n]]*(Tabla1[[#This Row],[n]]-1))/2)</f>
        <v>0.99283333333333335</v>
      </c>
      <c r="F101" s="3">
        <v>0.218</v>
      </c>
      <c r="G101" s="3">
        <f t="shared" si="3"/>
        <v>1.76</v>
      </c>
      <c r="H101" s="3">
        <v>14400</v>
      </c>
      <c r="I101" s="2">
        <v>395257</v>
      </c>
    </row>
    <row r="102" spans="1:9" x14ac:dyDescent="0.2">
      <c r="A102" s="2" t="s">
        <v>31</v>
      </c>
      <c r="B102" s="2">
        <v>24</v>
      </c>
      <c r="C102" s="2">
        <v>1</v>
      </c>
      <c r="D102" s="3">
        <v>83.798000000000002</v>
      </c>
      <c r="E102" s="5">
        <f>1-Tabla1[[#This Row],[obj value]]/((Tabla1[[#This Row],[n]]*(Tabla1[[#This Row],[n]]-1))/2)</f>
        <v>0.69638405797101455</v>
      </c>
      <c r="F102" s="3">
        <v>83.798000000000002</v>
      </c>
      <c r="G102" s="3">
        <f t="shared" si="3"/>
        <v>0</v>
      </c>
      <c r="H102" s="3">
        <v>4.7E-2</v>
      </c>
      <c r="I102" s="2">
        <v>1</v>
      </c>
    </row>
    <row r="103" spans="1:9" x14ac:dyDescent="0.2">
      <c r="A103" s="2" t="s">
        <v>31</v>
      </c>
      <c r="B103" s="2">
        <v>24</v>
      </c>
      <c r="C103" s="2">
        <v>2</v>
      </c>
      <c r="D103" s="3">
        <v>22.114000000000001</v>
      </c>
      <c r="E103" s="5">
        <f>1-Tabla1[[#This Row],[obj value]]/((Tabla1[[#This Row],[n]]*(Tabla1[[#This Row],[n]]-1))/2)</f>
        <v>0.91987681159420287</v>
      </c>
      <c r="F103" s="3">
        <v>22.114000000000001</v>
      </c>
      <c r="G103" s="3">
        <f t="shared" si="3"/>
        <v>0</v>
      </c>
      <c r="H103" s="3">
        <v>1151.7159999999999</v>
      </c>
      <c r="I103" s="2">
        <v>30681</v>
      </c>
    </row>
    <row r="104" spans="1:9" x14ac:dyDescent="0.2">
      <c r="A104" s="2" t="s">
        <v>31</v>
      </c>
      <c r="B104" s="2">
        <v>24</v>
      </c>
      <c r="C104" s="2">
        <v>3</v>
      </c>
      <c r="D104" s="3">
        <v>2.6549999999999998</v>
      </c>
      <c r="E104" s="5">
        <f>1-Tabla1[[#This Row],[obj value]]/((Tabla1[[#This Row],[n]]*(Tabla1[[#This Row],[n]]-1))/2)</f>
        <v>0.99038043478260873</v>
      </c>
      <c r="F104" s="3">
        <v>2.5209999999999999</v>
      </c>
      <c r="G104" s="3">
        <f t="shared" si="3"/>
        <v>0.1339999999999999</v>
      </c>
      <c r="H104" s="3">
        <v>14400</v>
      </c>
      <c r="I104" s="2">
        <v>89569</v>
      </c>
    </row>
    <row r="105" spans="1:9" x14ac:dyDescent="0.2">
      <c r="A105" s="2" t="s">
        <v>31</v>
      </c>
      <c r="B105" s="2">
        <v>24</v>
      </c>
      <c r="C105" s="2">
        <v>4</v>
      </c>
      <c r="D105" s="3">
        <v>2.1269999999999998</v>
      </c>
      <c r="E105" s="5">
        <f>1-Tabla1[[#This Row],[obj value]]/((Tabla1[[#This Row],[n]]*(Tabla1[[#This Row],[n]]-1))/2)</f>
        <v>0.99229347826086955</v>
      </c>
      <c r="F105" s="3">
        <v>0.27</v>
      </c>
      <c r="G105" s="3">
        <f t="shared" si="3"/>
        <v>1.8569999999999998</v>
      </c>
      <c r="H105" s="3">
        <v>14400</v>
      </c>
      <c r="I105" s="2">
        <v>86988</v>
      </c>
    </row>
    <row r="106" spans="1:9" x14ac:dyDescent="0.2">
      <c r="A106" s="2" t="s">
        <v>32</v>
      </c>
      <c r="B106" s="2">
        <v>24</v>
      </c>
      <c r="C106" s="2">
        <v>1</v>
      </c>
      <c r="D106" s="3">
        <v>53.911999999999999</v>
      </c>
      <c r="E106" s="5">
        <f>1-Tabla1[[#This Row],[obj value]]/((Tabla1[[#This Row],[n]]*(Tabla1[[#This Row],[n]]-1))/2)</f>
        <v>0.80466666666666664</v>
      </c>
      <c r="F106" s="3">
        <v>53.911999999999999</v>
      </c>
      <c r="G106" s="3">
        <f t="shared" si="3"/>
        <v>0</v>
      </c>
      <c r="H106" s="3">
        <v>2.1000000000000001E-2</v>
      </c>
      <c r="I106" s="2">
        <v>1</v>
      </c>
    </row>
    <row r="107" spans="1:9" x14ac:dyDescent="0.2">
      <c r="A107" s="2" t="s">
        <v>32</v>
      </c>
      <c r="B107" s="2">
        <v>24</v>
      </c>
      <c r="C107" s="2">
        <v>2</v>
      </c>
      <c r="D107" s="3">
        <v>21.853999999999999</v>
      </c>
      <c r="E107" s="5">
        <f>1-Tabla1[[#This Row],[obj value]]/((Tabla1[[#This Row],[n]]*(Tabla1[[#This Row],[n]]-1))/2)</f>
        <v>0.9208188405797102</v>
      </c>
      <c r="F107" s="3">
        <v>21.853999999999999</v>
      </c>
      <c r="G107" s="3">
        <f t="shared" si="3"/>
        <v>0</v>
      </c>
      <c r="H107" s="3">
        <v>672.41600000000005</v>
      </c>
      <c r="I107" s="2">
        <v>36547</v>
      </c>
    </row>
    <row r="108" spans="1:9" x14ac:dyDescent="0.2">
      <c r="A108" s="2" t="s">
        <v>32</v>
      </c>
      <c r="B108" s="2">
        <v>24</v>
      </c>
      <c r="C108" s="2">
        <v>3</v>
      </c>
      <c r="D108" s="3">
        <v>8.2929999999999993</v>
      </c>
      <c r="E108" s="5">
        <f>1-Tabla1[[#This Row],[obj value]]/((Tabla1[[#This Row],[n]]*(Tabla1[[#This Row],[n]]-1))/2)</f>
        <v>0.96995289855072464</v>
      </c>
      <c r="F108" s="3">
        <v>1.9550000000000001</v>
      </c>
      <c r="G108" s="3">
        <f t="shared" si="3"/>
        <v>6.3379999999999992</v>
      </c>
      <c r="H108" s="3">
        <v>14400</v>
      </c>
      <c r="I108" s="2">
        <v>549248</v>
      </c>
    </row>
    <row r="109" spans="1:9" x14ac:dyDescent="0.2">
      <c r="A109" s="2" t="s">
        <v>32</v>
      </c>
      <c r="B109" s="2">
        <v>24</v>
      </c>
      <c r="C109" s="2">
        <v>4</v>
      </c>
      <c r="D109" s="3">
        <v>5.7949999999999999</v>
      </c>
      <c r="E109" s="5">
        <f>1-Tabla1[[#This Row],[obj value]]/((Tabla1[[#This Row],[n]]*(Tabla1[[#This Row],[n]]-1))/2)</f>
        <v>0.97900362318840584</v>
      </c>
      <c r="F109" s="3">
        <v>0.16300000000000001</v>
      </c>
      <c r="G109" s="3">
        <f t="shared" si="3"/>
        <v>5.6319999999999997</v>
      </c>
      <c r="H109" s="3">
        <v>14400</v>
      </c>
      <c r="I109" s="2">
        <v>2961110</v>
      </c>
    </row>
    <row r="110" spans="1:9" x14ac:dyDescent="0.2">
      <c r="A110" s="2" t="s">
        <v>33</v>
      </c>
      <c r="B110" s="2">
        <v>24</v>
      </c>
      <c r="C110" s="2">
        <v>1</v>
      </c>
      <c r="D110" s="3">
        <v>78.89</v>
      </c>
      <c r="E110" s="5">
        <f>1-Tabla1[[#This Row],[obj value]]/((Tabla1[[#This Row],[n]]*(Tabla1[[#This Row],[n]]-1))/2)</f>
        <v>0.71416666666666662</v>
      </c>
      <c r="F110" s="3">
        <v>78.89</v>
      </c>
      <c r="G110" s="3">
        <f t="shared" si="3"/>
        <v>0</v>
      </c>
      <c r="H110" s="3">
        <v>4.9000000000000002E-2</v>
      </c>
      <c r="I110" s="2">
        <v>1</v>
      </c>
    </row>
    <row r="111" spans="1:9" x14ac:dyDescent="0.2">
      <c r="A111" s="2" t="s">
        <v>33</v>
      </c>
      <c r="B111" s="2">
        <v>24</v>
      </c>
      <c r="C111" s="2">
        <v>2</v>
      </c>
      <c r="D111" s="3">
        <v>24.664000000000001</v>
      </c>
      <c r="E111" s="5">
        <f>1-Tabla1[[#This Row],[obj value]]/((Tabla1[[#This Row],[n]]*(Tabla1[[#This Row],[n]]-1))/2)</f>
        <v>0.91063768115942034</v>
      </c>
      <c r="F111" s="3">
        <v>24.664000000000001</v>
      </c>
      <c r="G111" s="3">
        <f t="shared" si="3"/>
        <v>0</v>
      </c>
      <c r="H111" s="3">
        <v>1125.835</v>
      </c>
      <c r="I111" s="2">
        <v>38151</v>
      </c>
    </row>
    <row r="112" spans="1:9" x14ac:dyDescent="0.2">
      <c r="A112" s="2" t="s">
        <v>33</v>
      </c>
      <c r="B112" s="2">
        <v>24</v>
      </c>
      <c r="C112" s="2">
        <v>3</v>
      </c>
      <c r="D112" s="3">
        <v>8.7669999999999995</v>
      </c>
      <c r="E112" s="5">
        <f>1-Tabla1[[#This Row],[obj value]]/((Tabla1[[#This Row],[n]]*(Tabla1[[#This Row],[n]]-1))/2)</f>
        <v>0.96823550724637686</v>
      </c>
      <c r="F112" s="3">
        <v>2.2570000000000001</v>
      </c>
      <c r="G112" s="3">
        <f t="shared" si="3"/>
        <v>6.51</v>
      </c>
      <c r="H112" s="3">
        <v>14400</v>
      </c>
      <c r="I112" s="2">
        <v>329062</v>
      </c>
    </row>
    <row r="113" spans="1:9" x14ac:dyDescent="0.2">
      <c r="A113" s="2" t="s">
        <v>33</v>
      </c>
      <c r="B113" s="2">
        <v>24</v>
      </c>
      <c r="C113" s="2">
        <v>4</v>
      </c>
      <c r="D113" s="3">
        <v>7.1210000000000004</v>
      </c>
      <c r="E113" s="5">
        <f>1-Tabla1[[#This Row],[obj value]]/((Tabla1[[#This Row],[n]]*(Tabla1[[#This Row],[n]]-1))/2)</f>
        <v>0.97419927536231887</v>
      </c>
      <c r="F113" s="3">
        <v>6.0000000000000001E-3</v>
      </c>
      <c r="G113" s="3">
        <f t="shared" si="3"/>
        <v>7.1150000000000002</v>
      </c>
      <c r="H113" s="3">
        <v>14400</v>
      </c>
      <c r="I113" s="2">
        <v>717314</v>
      </c>
    </row>
    <row r="114" spans="1:9" x14ac:dyDescent="0.2">
      <c r="A114" s="2" t="s">
        <v>34</v>
      </c>
      <c r="B114" s="2">
        <v>24</v>
      </c>
      <c r="C114" s="2">
        <v>1</v>
      </c>
      <c r="D114" s="3">
        <v>63.210999999999999</v>
      </c>
      <c r="E114" s="5">
        <f>1-Tabla1[[#This Row],[obj value]]/((Tabla1[[#This Row],[n]]*(Tabla1[[#This Row],[n]]-1))/2)</f>
        <v>0.77097463768115948</v>
      </c>
      <c r="F114" s="3">
        <v>63.210999999999999</v>
      </c>
      <c r="G114" s="3">
        <f t="shared" si="3"/>
        <v>0</v>
      </c>
      <c r="H114" s="3">
        <v>2.5000000000000001E-2</v>
      </c>
      <c r="I114" s="2">
        <v>1</v>
      </c>
    </row>
    <row r="115" spans="1:9" x14ac:dyDescent="0.2">
      <c r="A115" s="2" t="s">
        <v>34</v>
      </c>
      <c r="B115" s="2">
        <v>24</v>
      </c>
      <c r="C115" s="2">
        <v>2</v>
      </c>
      <c r="D115" s="3">
        <v>25.193000000000001</v>
      </c>
      <c r="E115" s="5">
        <f>1-Tabla1[[#This Row],[obj value]]/((Tabla1[[#This Row],[n]]*(Tabla1[[#This Row],[n]]-1))/2)</f>
        <v>0.90872101449275366</v>
      </c>
      <c r="F115" s="3">
        <v>25.193000000000001</v>
      </c>
      <c r="G115" s="3">
        <f t="shared" si="3"/>
        <v>0</v>
      </c>
      <c r="H115" s="3">
        <v>834.47699999999998</v>
      </c>
      <c r="I115" s="2">
        <v>43557</v>
      </c>
    </row>
    <row r="116" spans="1:9" x14ac:dyDescent="0.2">
      <c r="A116" s="2" t="s">
        <v>34</v>
      </c>
      <c r="B116" s="2">
        <v>24</v>
      </c>
      <c r="C116" s="2">
        <v>3</v>
      </c>
      <c r="D116" s="3">
        <v>11.226000000000001</v>
      </c>
      <c r="E116" s="5">
        <f>1-Tabla1[[#This Row],[obj value]]/((Tabla1[[#This Row],[n]]*(Tabla1[[#This Row],[n]]-1))/2)</f>
        <v>0.95932608695652177</v>
      </c>
      <c r="F116" s="3">
        <v>1.6339999999999999</v>
      </c>
      <c r="G116" s="3">
        <f t="shared" si="3"/>
        <v>9.5920000000000005</v>
      </c>
      <c r="H116" s="3">
        <v>14400</v>
      </c>
      <c r="I116" s="2">
        <v>375441</v>
      </c>
    </row>
    <row r="117" spans="1:9" x14ac:dyDescent="0.2">
      <c r="A117" s="2" t="s">
        <v>34</v>
      </c>
      <c r="B117" s="2">
        <v>24</v>
      </c>
      <c r="C117" s="2">
        <v>4</v>
      </c>
      <c r="D117" s="3">
        <v>9.43</v>
      </c>
      <c r="E117" s="5">
        <f>1-Tabla1[[#This Row],[obj value]]/((Tabla1[[#This Row],[n]]*(Tabla1[[#This Row],[n]]-1))/2)</f>
        <v>0.96583333333333332</v>
      </c>
      <c r="F117" s="3">
        <v>0</v>
      </c>
      <c r="G117" s="3">
        <f t="shared" si="3"/>
        <v>9.43</v>
      </c>
      <c r="H117" s="3">
        <v>14400</v>
      </c>
      <c r="I117" s="2">
        <v>1541313</v>
      </c>
    </row>
    <row r="118" spans="1:9" x14ac:dyDescent="0.2">
      <c r="A118" s="2" t="s">
        <v>35</v>
      </c>
      <c r="B118" s="2">
        <v>24</v>
      </c>
      <c r="C118" s="2">
        <v>1</v>
      </c>
      <c r="D118" s="3">
        <v>87.903000000000006</v>
      </c>
      <c r="E118" s="5">
        <f>1-Tabla1[[#This Row],[obj value]]/((Tabla1[[#This Row],[n]]*(Tabla1[[#This Row],[n]]-1))/2)</f>
        <v>0.68151086956521745</v>
      </c>
      <c r="F118" s="3">
        <v>87.903000000000006</v>
      </c>
      <c r="G118" s="3">
        <f t="shared" si="3"/>
        <v>0</v>
      </c>
      <c r="H118" s="3">
        <v>5.2999999999999999E-2</v>
      </c>
      <c r="I118" s="2">
        <v>1</v>
      </c>
    </row>
    <row r="119" spans="1:9" x14ac:dyDescent="0.2">
      <c r="A119" s="2" t="s">
        <v>35</v>
      </c>
      <c r="B119" s="2">
        <v>24</v>
      </c>
      <c r="C119" s="2">
        <v>2</v>
      </c>
      <c r="D119" s="3">
        <v>29.030999999999999</v>
      </c>
      <c r="E119" s="5">
        <f>1-Tabla1[[#This Row],[obj value]]/((Tabla1[[#This Row],[n]]*(Tabla1[[#This Row],[n]]-1))/2)</f>
        <v>0.89481521739130432</v>
      </c>
      <c r="F119" s="3">
        <v>27.513000000000002</v>
      </c>
      <c r="G119" s="3">
        <f t="shared" si="3"/>
        <v>1.5179999999999971</v>
      </c>
      <c r="H119" s="3">
        <v>14400</v>
      </c>
      <c r="I119" s="2">
        <v>570163</v>
      </c>
    </row>
    <row r="120" spans="1:9" x14ac:dyDescent="0.2">
      <c r="A120" s="2" t="s">
        <v>35</v>
      </c>
      <c r="B120" s="2">
        <v>24</v>
      </c>
      <c r="C120" s="2">
        <v>3</v>
      </c>
      <c r="D120" s="3">
        <v>12.641</v>
      </c>
      <c r="E120" s="5">
        <f>1-Tabla1[[#This Row],[obj value]]/((Tabla1[[#This Row],[n]]*(Tabla1[[#This Row],[n]]-1))/2)</f>
        <v>0.95419927536231886</v>
      </c>
      <c r="F120" s="3">
        <v>1.9810000000000001</v>
      </c>
      <c r="G120" s="3">
        <f t="shared" si="3"/>
        <v>10.66</v>
      </c>
      <c r="H120" s="3">
        <v>14400</v>
      </c>
      <c r="I120" s="2">
        <v>124980</v>
      </c>
    </row>
    <row r="121" spans="1:9" x14ac:dyDescent="0.2">
      <c r="A121" s="2" t="s">
        <v>35</v>
      </c>
      <c r="B121" s="2">
        <v>24</v>
      </c>
      <c r="C121" s="2">
        <v>4</v>
      </c>
      <c r="D121" s="3">
        <v>9.6509999999999998</v>
      </c>
      <c r="E121" s="5">
        <f>1-Tabla1[[#This Row],[obj value]]/((Tabla1[[#This Row],[n]]*(Tabla1[[#This Row],[n]]-1))/2)</f>
        <v>0.96503260869565222</v>
      </c>
      <c r="F121" s="3">
        <v>0</v>
      </c>
      <c r="G121" s="3">
        <f t="shared" si="3"/>
        <v>9.6509999999999998</v>
      </c>
      <c r="H121" s="3">
        <v>14400</v>
      </c>
      <c r="I121" s="2">
        <v>1543234</v>
      </c>
    </row>
    <row r="122" spans="1:9" x14ac:dyDescent="0.2">
      <c r="A122" s="2" t="s">
        <v>36</v>
      </c>
      <c r="B122" s="2">
        <v>24</v>
      </c>
      <c r="C122" s="2">
        <v>1</v>
      </c>
      <c r="D122" s="3">
        <v>73.233000000000004</v>
      </c>
      <c r="E122" s="5">
        <f>1-Tabla1[[#This Row],[obj value]]/((Tabla1[[#This Row],[n]]*(Tabla1[[#This Row],[n]]-1))/2)</f>
        <v>0.73466304347826084</v>
      </c>
      <c r="F122" s="3">
        <v>73.233000000000004</v>
      </c>
      <c r="G122" s="3">
        <f t="shared" si="3"/>
        <v>0</v>
      </c>
      <c r="H122" s="3">
        <v>5.8999999999999997E-2</v>
      </c>
      <c r="I122" s="2">
        <v>1</v>
      </c>
    </row>
    <row r="123" spans="1:9" x14ac:dyDescent="0.2">
      <c r="A123" s="2" t="s">
        <v>36</v>
      </c>
      <c r="B123" s="2">
        <v>24</v>
      </c>
      <c r="C123" s="2">
        <v>2</v>
      </c>
      <c r="D123" s="3">
        <v>24.222999999999999</v>
      </c>
      <c r="E123" s="5">
        <f>1-Tabla1[[#This Row],[obj value]]/((Tabla1[[#This Row],[n]]*(Tabla1[[#This Row],[n]]-1))/2)</f>
        <v>0.91223550724637681</v>
      </c>
      <c r="F123" s="3">
        <v>24.222999999999999</v>
      </c>
      <c r="G123" s="3">
        <f t="shared" si="3"/>
        <v>0</v>
      </c>
      <c r="H123" s="3">
        <v>815.94</v>
      </c>
      <c r="I123" s="2">
        <v>29836</v>
      </c>
    </row>
    <row r="124" spans="1:9" x14ac:dyDescent="0.2">
      <c r="A124" s="2" t="s">
        <v>36</v>
      </c>
      <c r="B124" s="2">
        <v>24</v>
      </c>
      <c r="C124" s="2">
        <v>3</v>
      </c>
      <c r="D124" s="3">
        <v>9.7590000000000003</v>
      </c>
      <c r="E124" s="5">
        <f>1-Tabla1[[#This Row],[obj value]]/((Tabla1[[#This Row],[n]]*(Tabla1[[#This Row],[n]]-1))/2)</f>
        <v>0.96464130434782613</v>
      </c>
      <c r="F124" s="3">
        <v>1.716</v>
      </c>
      <c r="G124" s="3">
        <f t="shared" si="3"/>
        <v>8.043000000000001</v>
      </c>
      <c r="H124" s="3">
        <v>14400</v>
      </c>
      <c r="I124" s="2">
        <v>336151</v>
      </c>
    </row>
    <row r="125" spans="1:9" x14ac:dyDescent="0.2">
      <c r="A125" s="2" t="s">
        <v>36</v>
      </c>
      <c r="B125" s="2">
        <v>24</v>
      </c>
      <c r="C125" s="2">
        <v>4</v>
      </c>
      <c r="D125" s="3">
        <v>2.4079999999999999</v>
      </c>
      <c r="E125" s="5">
        <f>1-Tabla1[[#This Row],[obj value]]/((Tabla1[[#This Row],[n]]*(Tabla1[[#This Row],[n]]-1))/2)</f>
        <v>0.99127536231884061</v>
      </c>
      <c r="F125" s="3">
        <v>8.1000000000000003E-2</v>
      </c>
      <c r="G125" s="3">
        <f t="shared" si="3"/>
        <v>2.327</v>
      </c>
      <c r="H125" s="3">
        <v>14400</v>
      </c>
      <c r="I125" s="2">
        <v>1458122</v>
      </c>
    </row>
    <row r="126" spans="1:9" x14ac:dyDescent="0.2">
      <c r="A126" s="2" t="s">
        <v>37</v>
      </c>
      <c r="B126" s="2">
        <v>24</v>
      </c>
      <c r="C126" s="2">
        <v>1</v>
      </c>
      <c r="D126" s="3">
        <v>96.346000000000004</v>
      </c>
      <c r="E126" s="5">
        <f>1-Tabla1[[#This Row],[obj value]]/((Tabla1[[#This Row],[n]]*(Tabla1[[#This Row],[n]]-1))/2)</f>
        <v>0.65092028985507244</v>
      </c>
      <c r="F126" s="3">
        <v>96.346000000000004</v>
      </c>
      <c r="G126" s="3">
        <f t="shared" si="3"/>
        <v>0</v>
      </c>
      <c r="H126" s="3">
        <v>2.4E-2</v>
      </c>
      <c r="I126" s="2">
        <v>1</v>
      </c>
    </row>
    <row r="127" spans="1:9" x14ac:dyDescent="0.2">
      <c r="A127" s="2" t="s">
        <v>37</v>
      </c>
      <c r="B127" s="2">
        <v>24</v>
      </c>
      <c r="C127" s="2">
        <v>2</v>
      </c>
      <c r="D127" s="3">
        <v>32.915999999999997</v>
      </c>
      <c r="E127" s="5">
        <f>1-Tabla1[[#This Row],[obj value]]/((Tabla1[[#This Row],[n]]*(Tabla1[[#This Row],[n]]-1))/2)</f>
        <v>0.88073913043478258</v>
      </c>
      <c r="F127" s="3">
        <v>32.915999999999997</v>
      </c>
      <c r="G127" s="3">
        <f t="shared" si="3"/>
        <v>0</v>
      </c>
      <c r="H127" s="3">
        <v>9425.741</v>
      </c>
      <c r="I127" s="2">
        <v>1442149</v>
      </c>
    </row>
    <row r="128" spans="1:9" x14ac:dyDescent="0.2">
      <c r="A128" s="2" t="s">
        <v>37</v>
      </c>
      <c r="B128" s="2">
        <v>24</v>
      </c>
      <c r="C128" s="2">
        <v>3</v>
      </c>
      <c r="D128" s="3">
        <v>13.44</v>
      </c>
      <c r="E128" s="5">
        <f>1-Tabla1[[#This Row],[obj value]]/((Tabla1[[#This Row],[n]]*(Tabla1[[#This Row],[n]]-1))/2)</f>
        <v>0.95130434782608697</v>
      </c>
      <c r="F128" s="3">
        <v>2.516</v>
      </c>
      <c r="G128" s="3">
        <f t="shared" si="3"/>
        <v>10.923999999999999</v>
      </c>
      <c r="H128" s="3">
        <v>14400</v>
      </c>
      <c r="I128" s="2">
        <v>134981</v>
      </c>
    </row>
    <row r="129" spans="1:9" x14ac:dyDescent="0.2">
      <c r="A129" s="2" t="s">
        <v>37</v>
      </c>
      <c r="B129" s="2">
        <v>24</v>
      </c>
      <c r="C129" s="2">
        <v>4</v>
      </c>
      <c r="D129" s="3">
        <v>2.5099999999999998</v>
      </c>
      <c r="E129" s="5">
        <f>1-Tabla1[[#This Row],[obj value]]/((Tabla1[[#This Row],[n]]*(Tabla1[[#This Row],[n]]-1))/2)</f>
        <v>0.99090579710144933</v>
      </c>
      <c r="F129" s="3">
        <v>1.2E-2</v>
      </c>
      <c r="G129" s="3">
        <f t="shared" si="3"/>
        <v>2.4979999999999998</v>
      </c>
      <c r="H129" s="3">
        <v>14400</v>
      </c>
      <c r="I129" s="2">
        <v>495321</v>
      </c>
    </row>
    <row r="130" spans="1:9" x14ac:dyDescent="0.2">
      <c r="A130" s="2" t="s">
        <v>38</v>
      </c>
      <c r="B130" s="2">
        <v>24</v>
      </c>
      <c r="C130" s="2">
        <v>1</v>
      </c>
      <c r="D130" s="3">
        <v>59.703000000000003</v>
      </c>
      <c r="E130" s="5">
        <f>1-Tabla1[[#This Row],[obj value]]/((Tabla1[[#This Row],[n]]*(Tabla1[[#This Row],[n]]-1))/2)</f>
        <v>0.78368478260869567</v>
      </c>
      <c r="F130" s="3">
        <v>59.703000000000003</v>
      </c>
      <c r="G130" s="3">
        <f t="shared" ref="G130:G161" si="4">ABS(D130-F130)</f>
        <v>0</v>
      </c>
      <c r="H130" s="3">
        <v>5.7000000000000002E-2</v>
      </c>
      <c r="I130" s="2">
        <v>1</v>
      </c>
    </row>
    <row r="131" spans="1:9" x14ac:dyDescent="0.2">
      <c r="A131" s="2" t="s">
        <v>38</v>
      </c>
      <c r="B131" s="2">
        <v>24</v>
      </c>
      <c r="C131" s="2">
        <v>2</v>
      </c>
      <c r="D131" s="3">
        <v>22.594000000000001</v>
      </c>
      <c r="E131" s="5">
        <f>1-Tabla1[[#This Row],[obj value]]/((Tabla1[[#This Row],[n]]*(Tabla1[[#This Row],[n]]-1))/2)</f>
        <v>0.91813768115942029</v>
      </c>
      <c r="F131" s="3">
        <v>22.594000000000001</v>
      </c>
      <c r="G131" s="3">
        <f t="shared" si="4"/>
        <v>0</v>
      </c>
      <c r="H131" s="3">
        <v>612.99800000000005</v>
      </c>
      <c r="I131" s="2">
        <v>30374</v>
      </c>
    </row>
    <row r="132" spans="1:9" x14ac:dyDescent="0.2">
      <c r="A132" s="2" t="s">
        <v>38</v>
      </c>
      <c r="B132" s="2">
        <v>24</v>
      </c>
      <c r="C132" s="2">
        <v>3</v>
      </c>
      <c r="D132" s="3">
        <v>11.413</v>
      </c>
      <c r="E132" s="5">
        <f>1-Tabla1[[#This Row],[obj value]]/((Tabla1[[#This Row],[n]]*(Tabla1[[#This Row],[n]]-1))/2)</f>
        <v>0.95864855072463773</v>
      </c>
      <c r="F132" s="3">
        <v>2.5150000000000001</v>
      </c>
      <c r="G132" s="3">
        <f t="shared" si="4"/>
        <v>8.8979999999999997</v>
      </c>
      <c r="H132" s="3">
        <v>14400</v>
      </c>
      <c r="I132" s="2">
        <v>177054</v>
      </c>
    </row>
    <row r="133" spans="1:9" x14ac:dyDescent="0.2">
      <c r="A133" s="2" t="s">
        <v>38</v>
      </c>
      <c r="B133" s="2">
        <v>24</v>
      </c>
      <c r="C133" s="2">
        <v>4</v>
      </c>
      <c r="D133" s="3">
        <v>9.9090000000000007</v>
      </c>
      <c r="E133" s="5">
        <f>1-Tabla1[[#This Row],[obj value]]/((Tabla1[[#This Row],[n]]*(Tabla1[[#This Row],[n]]-1))/2)</f>
        <v>0.96409782608695649</v>
      </c>
      <c r="F133" s="3">
        <v>7.4999999999999997E-2</v>
      </c>
      <c r="G133" s="3">
        <f t="shared" si="4"/>
        <v>9.8340000000000014</v>
      </c>
      <c r="H133" s="3">
        <v>14400</v>
      </c>
      <c r="I133" s="2">
        <v>2568261</v>
      </c>
    </row>
    <row r="134" spans="1:9" x14ac:dyDescent="0.2">
      <c r="A134" s="2" t="s">
        <v>39</v>
      </c>
      <c r="B134" s="2">
        <v>24</v>
      </c>
      <c r="C134" s="2">
        <v>1</v>
      </c>
      <c r="D134" s="3">
        <v>86.623999999999995</v>
      </c>
      <c r="E134" s="5">
        <f>1-Tabla1[[#This Row],[obj value]]/((Tabla1[[#This Row],[n]]*(Tabla1[[#This Row],[n]]-1))/2)</f>
        <v>0.68614492753623191</v>
      </c>
      <c r="F134" s="3">
        <v>86.623999999999995</v>
      </c>
      <c r="G134" s="3">
        <f t="shared" si="4"/>
        <v>0</v>
      </c>
      <c r="H134" s="3">
        <v>2.4E-2</v>
      </c>
      <c r="I134" s="2">
        <v>1</v>
      </c>
    </row>
    <row r="135" spans="1:9" x14ac:dyDescent="0.2">
      <c r="A135" s="2" t="s">
        <v>39</v>
      </c>
      <c r="B135" s="2">
        <v>24</v>
      </c>
      <c r="C135" s="2">
        <v>2</v>
      </c>
      <c r="D135" s="3">
        <v>33.695999999999998</v>
      </c>
      <c r="E135" s="5">
        <f>1-Tabla1[[#This Row],[obj value]]/((Tabla1[[#This Row],[n]]*(Tabla1[[#This Row],[n]]-1))/2)</f>
        <v>0.87791304347826093</v>
      </c>
      <c r="F135" s="3">
        <v>31.866</v>
      </c>
      <c r="G135" s="3">
        <f t="shared" si="4"/>
        <v>1.8299999999999983</v>
      </c>
      <c r="H135" s="3">
        <v>14400</v>
      </c>
      <c r="I135" s="2">
        <v>707931</v>
      </c>
    </row>
    <row r="136" spans="1:9" x14ac:dyDescent="0.2">
      <c r="A136" s="2" t="s">
        <v>39</v>
      </c>
      <c r="B136" s="2">
        <v>24</v>
      </c>
      <c r="C136" s="2">
        <v>3</v>
      </c>
      <c r="D136" s="3">
        <v>15.23</v>
      </c>
      <c r="E136" s="5">
        <f>1-Tabla1[[#This Row],[obj value]]/((Tabla1[[#This Row],[n]]*(Tabla1[[#This Row],[n]]-1))/2)</f>
        <v>0.94481884057971011</v>
      </c>
      <c r="F136" s="3">
        <v>2.3940000000000001</v>
      </c>
      <c r="G136" s="3">
        <f t="shared" si="4"/>
        <v>12.836</v>
      </c>
      <c r="H136" s="3">
        <v>14400</v>
      </c>
      <c r="I136" s="2">
        <v>140516</v>
      </c>
    </row>
    <row r="137" spans="1:9" x14ac:dyDescent="0.2">
      <c r="A137" s="2" t="s">
        <v>39</v>
      </c>
      <c r="B137" s="2">
        <v>24</v>
      </c>
      <c r="C137" s="2">
        <v>4</v>
      </c>
      <c r="D137" s="3">
        <v>8.8919999999999995</v>
      </c>
      <c r="E137" s="5">
        <f>1-Tabla1[[#This Row],[obj value]]/((Tabla1[[#This Row],[n]]*(Tabla1[[#This Row],[n]]-1))/2)</f>
        <v>0.96778260869565214</v>
      </c>
      <c r="F137" s="3">
        <v>1E-3</v>
      </c>
      <c r="G137" s="3">
        <f t="shared" si="4"/>
        <v>8.891</v>
      </c>
      <c r="H137" s="3">
        <v>14400</v>
      </c>
      <c r="I137" s="2">
        <v>645751</v>
      </c>
    </row>
    <row r="138" spans="1:9" x14ac:dyDescent="0.2">
      <c r="A138" s="2" t="s">
        <v>40</v>
      </c>
      <c r="B138" s="2">
        <v>24</v>
      </c>
      <c r="C138" s="2">
        <v>1</v>
      </c>
      <c r="D138" s="3">
        <v>73.963999999999999</v>
      </c>
      <c r="E138" s="5">
        <f>1-Tabla1[[#This Row],[obj value]]/((Tabla1[[#This Row],[n]]*(Tabla1[[#This Row],[n]]-1))/2)</f>
        <v>0.73201449275362318</v>
      </c>
      <c r="F138" s="3">
        <v>73.963999999999999</v>
      </c>
      <c r="G138" s="3">
        <f t="shared" si="4"/>
        <v>0</v>
      </c>
      <c r="H138" s="3">
        <v>5.6000000000000001E-2</v>
      </c>
      <c r="I138" s="2">
        <v>1</v>
      </c>
    </row>
    <row r="139" spans="1:9" x14ac:dyDescent="0.2">
      <c r="A139" s="2" t="s">
        <v>40</v>
      </c>
      <c r="B139" s="2">
        <v>24</v>
      </c>
      <c r="C139" s="2">
        <v>2</v>
      </c>
      <c r="D139" s="3">
        <v>25.837</v>
      </c>
      <c r="E139" s="5">
        <f>1-Tabla1[[#This Row],[obj value]]/((Tabla1[[#This Row],[n]]*(Tabla1[[#This Row],[n]]-1))/2)</f>
        <v>0.90638768115942026</v>
      </c>
      <c r="F139" s="3">
        <v>25.837</v>
      </c>
      <c r="G139" s="3">
        <f t="shared" si="4"/>
        <v>0</v>
      </c>
      <c r="H139" s="3">
        <v>759.69299999999998</v>
      </c>
      <c r="I139" s="2">
        <v>29517</v>
      </c>
    </row>
    <row r="140" spans="1:9" x14ac:dyDescent="0.2">
      <c r="A140" s="2" t="s">
        <v>40</v>
      </c>
      <c r="B140" s="2">
        <v>24</v>
      </c>
      <c r="C140" s="2">
        <v>3</v>
      </c>
      <c r="D140" s="3">
        <v>17.244</v>
      </c>
      <c r="E140" s="5">
        <f>1-Tabla1[[#This Row],[obj value]]/((Tabla1[[#This Row],[n]]*(Tabla1[[#This Row],[n]]-1))/2)</f>
        <v>0.93752173913043479</v>
      </c>
      <c r="F140" s="3">
        <v>1.4590000000000001</v>
      </c>
      <c r="G140" s="3">
        <f t="shared" si="4"/>
        <v>15.785</v>
      </c>
      <c r="H140" s="3">
        <v>14400</v>
      </c>
      <c r="I140" s="2">
        <v>149468</v>
      </c>
    </row>
    <row r="141" spans="1:9" x14ac:dyDescent="0.2">
      <c r="A141" s="2" t="s">
        <v>40</v>
      </c>
      <c r="B141" s="2">
        <v>24</v>
      </c>
      <c r="C141" s="2">
        <v>4</v>
      </c>
      <c r="D141" s="3">
        <v>13.260999999999999</v>
      </c>
      <c r="E141" s="5">
        <f>1-Tabla1[[#This Row],[obj value]]/((Tabla1[[#This Row],[n]]*(Tabla1[[#This Row],[n]]-1))/2)</f>
        <v>0.95195289855072462</v>
      </c>
      <c r="F141" s="3">
        <v>1E-3</v>
      </c>
      <c r="G141" s="3">
        <f t="shared" si="4"/>
        <v>13.26</v>
      </c>
      <c r="H141" s="3">
        <v>14400</v>
      </c>
      <c r="I141" s="2">
        <v>2587620</v>
      </c>
    </row>
    <row r="142" spans="1:9" x14ac:dyDescent="0.2">
      <c r="A142" s="2" t="s">
        <v>41</v>
      </c>
      <c r="B142" s="2">
        <v>24</v>
      </c>
      <c r="C142" s="2">
        <v>1</v>
      </c>
      <c r="D142" s="3">
        <v>89.902000000000001</v>
      </c>
      <c r="E142" s="5">
        <f>1-Tabla1[[#This Row],[obj value]]/((Tabla1[[#This Row],[n]]*(Tabla1[[#This Row],[n]]-1))/2)</f>
        <v>0.67426811594202896</v>
      </c>
      <c r="F142" s="3">
        <v>89.902000000000001</v>
      </c>
      <c r="G142" s="3">
        <f t="shared" si="4"/>
        <v>0</v>
      </c>
      <c r="H142" s="3">
        <v>2.5000000000000001E-2</v>
      </c>
      <c r="I142" s="2">
        <v>1</v>
      </c>
    </row>
    <row r="143" spans="1:9" x14ac:dyDescent="0.2">
      <c r="A143" s="2" t="s">
        <v>41</v>
      </c>
      <c r="B143" s="2">
        <v>24</v>
      </c>
      <c r="C143" s="2">
        <v>2</v>
      </c>
      <c r="D143" s="3">
        <v>29.542999999999999</v>
      </c>
      <c r="E143" s="5">
        <f>1-Tabla1[[#This Row],[obj value]]/((Tabla1[[#This Row],[n]]*(Tabla1[[#This Row],[n]]-1))/2)</f>
        <v>0.89296014492753628</v>
      </c>
      <c r="F143" s="3">
        <v>29.542999999999999</v>
      </c>
      <c r="G143" s="3">
        <f t="shared" si="4"/>
        <v>0</v>
      </c>
      <c r="H143" s="3">
        <v>7145.8180000000002</v>
      </c>
      <c r="I143" s="2">
        <v>234121</v>
      </c>
    </row>
    <row r="144" spans="1:9" x14ac:dyDescent="0.2">
      <c r="A144" s="2" t="s">
        <v>41</v>
      </c>
      <c r="B144" s="2">
        <v>24</v>
      </c>
      <c r="C144" s="2">
        <v>3</v>
      </c>
      <c r="D144" s="3">
        <v>17.952000000000002</v>
      </c>
      <c r="E144" s="5">
        <f>1-Tabla1[[#This Row],[obj value]]/((Tabla1[[#This Row],[n]]*(Tabla1[[#This Row],[n]]-1))/2)</f>
        <v>0.93495652173913046</v>
      </c>
      <c r="F144" s="3">
        <v>1.4079999999999999</v>
      </c>
      <c r="G144" s="3">
        <f t="shared" si="4"/>
        <v>16.544</v>
      </c>
      <c r="H144" s="3">
        <v>14400</v>
      </c>
      <c r="I144" s="2">
        <v>135446</v>
      </c>
    </row>
    <row r="145" spans="1:9" x14ac:dyDescent="0.2">
      <c r="A145" s="2" t="s">
        <v>41</v>
      </c>
      <c r="B145" s="2">
        <v>24</v>
      </c>
      <c r="C145" s="2">
        <v>4</v>
      </c>
      <c r="D145" s="3">
        <v>12.677</v>
      </c>
      <c r="E145" s="5">
        <f>1-Tabla1[[#This Row],[obj value]]/((Tabla1[[#This Row],[n]]*(Tabla1[[#This Row],[n]]-1))/2)</f>
        <v>0.9540688405797102</v>
      </c>
      <c r="F145" s="3">
        <v>0</v>
      </c>
      <c r="G145" s="3">
        <f t="shared" si="4"/>
        <v>12.677</v>
      </c>
      <c r="H145" s="3">
        <v>14400</v>
      </c>
      <c r="I145" s="2">
        <v>3182817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F76F-1571-0144-8425-D237E4993390}">
  <dimension ref="A1:G109"/>
  <sheetViews>
    <sheetView workbookViewId="0">
      <selection activeCell="F14" sqref="F14"/>
    </sheetView>
  </sheetViews>
  <sheetFormatPr baseColWidth="10" defaultRowHeight="16" x14ac:dyDescent="0.2"/>
  <cols>
    <col min="1" max="4" width="12.83203125" customWidth="1"/>
    <col min="5" max="5" width="12.83203125" style="6" customWidth="1"/>
    <col min="6" max="7" width="12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43</v>
      </c>
      <c r="F1" s="1" t="s">
        <v>42</v>
      </c>
      <c r="G1" s="1" t="s">
        <v>45</v>
      </c>
    </row>
    <row r="2" spans="1:7" x14ac:dyDescent="0.2">
      <c r="A2" s="2" t="s">
        <v>6</v>
      </c>
      <c r="B2" s="2">
        <v>12</v>
      </c>
      <c r="C2" s="2">
        <v>2</v>
      </c>
      <c r="D2" s="2">
        <v>0.93400000000000005</v>
      </c>
      <c r="E2" s="5">
        <f>1-Tabla2[[#This Row],[obj value]]/((Tabla2[[#This Row],[n]]*(Tabla2[[#This Row],[n]]-1))/2)</f>
        <v>0.98584848484848486</v>
      </c>
      <c r="F2" s="2">
        <v>0.35</v>
      </c>
      <c r="G2" s="2">
        <v>25</v>
      </c>
    </row>
    <row r="3" spans="1:7" x14ac:dyDescent="0.2">
      <c r="A3" s="2" t="s">
        <v>6</v>
      </c>
      <c r="B3" s="2">
        <v>12</v>
      </c>
      <c r="C3" s="2">
        <v>3</v>
      </c>
      <c r="D3" s="2">
        <v>0.56200000000000006</v>
      </c>
      <c r="E3" s="5">
        <f>1-Tabla2[[#This Row],[obj value]]/((Tabla2[[#This Row],[n]]*(Tabla2[[#This Row],[n]]-1))/2)</f>
        <v>0.99148484848484852</v>
      </c>
      <c r="F3" s="2">
        <v>0.71099999999999997</v>
      </c>
      <c r="G3" s="2">
        <v>30</v>
      </c>
    </row>
    <row r="4" spans="1:7" x14ac:dyDescent="0.2">
      <c r="A4" s="2" t="s">
        <v>6</v>
      </c>
      <c r="B4" s="2">
        <v>12</v>
      </c>
      <c r="C4" s="2">
        <v>4</v>
      </c>
      <c r="D4" s="2">
        <v>0.28999999999999998</v>
      </c>
      <c r="E4" s="5">
        <f>1-Tabla2[[#This Row],[obj value]]/((Tabla2[[#This Row],[n]]*(Tabla2[[#This Row],[n]]-1))/2)</f>
        <v>0.99560606060606061</v>
      </c>
      <c r="F4" s="2">
        <v>1.77</v>
      </c>
      <c r="G4" s="2">
        <v>31</v>
      </c>
    </row>
    <row r="5" spans="1:7" x14ac:dyDescent="0.2">
      <c r="A5" s="2" t="s">
        <v>7</v>
      </c>
      <c r="B5" s="2">
        <v>12</v>
      </c>
      <c r="C5" s="2">
        <v>2</v>
      </c>
      <c r="D5" s="2">
        <v>1</v>
      </c>
      <c r="E5" s="5">
        <f>1-Tabla2[[#This Row],[obj value]]/((Tabla2[[#This Row],[n]]*(Tabla2[[#This Row],[n]]-1))/2)</f>
        <v>0.98484848484848486</v>
      </c>
      <c r="F5" s="2">
        <v>0.33400000000000002</v>
      </c>
      <c r="G5" s="2">
        <v>24</v>
      </c>
    </row>
    <row r="6" spans="1:7" x14ac:dyDescent="0.2">
      <c r="A6" s="2" t="s">
        <v>7</v>
      </c>
      <c r="B6" s="2">
        <v>12</v>
      </c>
      <c r="C6" s="2">
        <v>3</v>
      </c>
      <c r="D6" s="2">
        <v>0.64</v>
      </c>
      <c r="E6" s="5">
        <f>1-Tabla2[[#This Row],[obj value]]/((Tabla2[[#This Row],[n]]*(Tabla2[[#This Row],[n]]-1))/2)</f>
        <v>0.99030303030303035</v>
      </c>
      <c r="F6" s="2">
        <v>1.032</v>
      </c>
      <c r="G6" s="2">
        <v>28</v>
      </c>
    </row>
    <row r="7" spans="1:7" x14ac:dyDescent="0.2">
      <c r="A7" s="2" t="s">
        <v>7</v>
      </c>
      <c r="B7" s="2">
        <v>12</v>
      </c>
      <c r="C7" s="2">
        <v>4</v>
      </c>
      <c r="D7" s="2">
        <v>0.34399999999999997</v>
      </c>
      <c r="E7" s="5">
        <f>1-Tabla2[[#This Row],[obj value]]/((Tabla2[[#This Row],[n]]*(Tabla2[[#This Row],[n]]-1))/2)</f>
        <v>0.99478787878787878</v>
      </c>
      <c r="F7" s="2">
        <v>2.4809999999999999</v>
      </c>
      <c r="G7" s="2">
        <v>39</v>
      </c>
    </row>
    <row r="8" spans="1:7" x14ac:dyDescent="0.2">
      <c r="A8" s="2" t="s">
        <v>8</v>
      </c>
      <c r="B8" s="2">
        <v>12</v>
      </c>
      <c r="C8" s="2">
        <v>2</v>
      </c>
      <c r="D8" s="2">
        <v>2.8740000000000001</v>
      </c>
      <c r="E8" s="5">
        <f>1-Tabla2[[#This Row],[obj value]]/((Tabla2[[#This Row],[n]]*(Tabla2[[#This Row],[n]]-1))/2)</f>
        <v>0.95645454545454545</v>
      </c>
      <c r="F8" s="2">
        <v>0.371</v>
      </c>
      <c r="G8" s="2">
        <v>26</v>
      </c>
    </row>
    <row r="9" spans="1:7" x14ac:dyDescent="0.2">
      <c r="A9" s="2" t="s">
        <v>8</v>
      </c>
      <c r="B9" s="2">
        <v>12</v>
      </c>
      <c r="C9" s="2">
        <v>3</v>
      </c>
      <c r="D9" s="2">
        <v>1.9419999999999999</v>
      </c>
      <c r="E9" s="5">
        <f>1-Tabla2[[#This Row],[obj value]]/((Tabla2[[#This Row],[n]]*(Tabla2[[#This Row],[n]]-1))/2)</f>
        <v>0.97057575757575754</v>
      </c>
      <c r="F9" s="2">
        <v>1.427</v>
      </c>
      <c r="G9" s="2">
        <v>32</v>
      </c>
    </row>
    <row r="10" spans="1:7" x14ac:dyDescent="0.2">
      <c r="A10" s="2" t="s">
        <v>8</v>
      </c>
      <c r="B10" s="2">
        <v>12</v>
      </c>
      <c r="C10" s="2">
        <v>4</v>
      </c>
      <c r="D10" s="2">
        <v>1.34</v>
      </c>
      <c r="E10" s="5">
        <f>1-Tabla2[[#This Row],[obj value]]/((Tabla2[[#This Row],[n]]*(Tabla2[[#This Row],[n]]-1))/2)</f>
        <v>0.97969696969696973</v>
      </c>
      <c r="F10" s="2">
        <v>7.9450000000000003</v>
      </c>
      <c r="G10" s="2">
        <v>43</v>
      </c>
    </row>
    <row r="11" spans="1:7" x14ac:dyDescent="0.2">
      <c r="A11" s="2" t="s">
        <v>9</v>
      </c>
      <c r="B11" s="2">
        <v>12</v>
      </c>
      <c r="C11" s="2">
        <v>2</v>
      </c>
      <c r="D11" s="2">
        <v>2.83</v>
      </c>
      <c r="E11" s="5">
        <f>1-Tabla2[[#This Row],[obj value]]/((Tabla2[[#This Row],[n]]*(Tabla2[[#This Row],[n]]-1))/2)</f>
        <v>0.95712121212121215</v>
      </c>
      <c r="F11" s="2">
        <v>0.44</v>
      </c>
      <c r="G11" s="2">
        <v>26</v>
      </c>
    </row>
    <row r="12" spans="1:7" x14ac:dyDescent="0.2">
      <c r="A12" s="2" t="s">
        <v>9</v>
      </c>
      <c r="B12" s="2">
        <v>12</v>
      </c>
      <c r="C12" s="2">
        <v>3</v>
      </c>
      <c r="D12" s="2">
        <v>1.968</v>
      </c>
      <c r="E12" s="5">
        <f>1-Tabla2[[#This Row],[obj value]]/((Tabla2[[#This Row],[n]]*(Tabla2[[#This Row],[n]]-1))/2)</f>
        <v>0.97018181818181815</v>
      </c>
      <c r="F12" s="2">
        <v>4.1319999999999997</v>
      </c>
      <c r="G12" s="2">
        <v>33</v>
      </c>
    </row>
    <row r="13" spans="1:7" x14ac:dyDescent="0.2">
      <c r="A13" s="2" t="s">
        <v>9</v>
      </c>
      <c r="B13" s="2">
        <v>12</v>
      </c>
      <c r="C13" s="2">
        <v>4</v>
      </c>
      <c r="D13" s="2">
        <v>1.131</v>
      </c>
      <c r="E13" s="5">
        <f>1-Tabla2[[#This Row],[obj value]]/((Tabla2[[#This Row],[n]]*(Tabla2[[#This Row],[n]]-1))/2)</f>
        <v>0.98286363636363638</v>
      </c>
      <c r="F13" s="2">
        <v>11.302</v>
      </c>
      <c r="G13" s="2">
        <v>35</v>
      </c>
    </row>
    <row r="14" spans="1:7" x14ac:dyDescent="0.2">
      <c r="A14" s="2" t="s">
        <v>10</v>
      </c>
      <c r="B14" s="2">
        <v>12</v>
      </c>
      <c r="C14" s="2">
        <v>2</v>
      </c>
      <c r="D14" s="2">
        <v>4.556</v>
      </c>
      <c r="E14" s="5">
        <f>1-Tabla2[[#This Row],[obj value]]/((Tabla2[[#This Row],[n]]*(Tabla2[[#This Row],[n]]-1))/2)</f>
        <v>0.930969696969697</v>
      </c>
      <c r="F14" s="2">
        <v>0.58699999999999997</v>
      </c>
      <c r="G14" s="2">
        <v>32</v>
      </c>
    </row>
    <row r="15" spans="1:7" x14ac:dyDescent="0.2">
      <c r="A15" s="2" t="s">
        <v>10</v>
      </c>
      <c r="B15" s="2">
        <v>12</v>
      </c>
      <c r="C15" s="2">
        <v>3</v>
      </c>
      <c r="D15" s="2">
        <v>2.9750000000000001</v>
      </c>
      <c r="E15" s="5">
        <f>1-Tabla2[[#This Row],[obj value]]/((Tabla2[[#This Row],[n]]*(Tabla2[[#This Row],[n]]-1))/2)</f>
        <v>0.95492424242424245</v>
      </c>
      <c r="F15" s="2">
        <v>2.2810000000000001</v>
      </c>
      <c r="G15" s="2">
        <v>36</v>
      </c>
    </row>
    <row r="16" spans="1:7" x14ac:dyDescent="0.2">
      <c r="A16" s="2" t="s">
        <v>10</v>
      </c>
      <c r="B16" s="2">
        <v>12</v>
      </c>
      <c r="C16" s="2">
        <v>4</v>
      </c>
      <c r="D16" s="2">
        <v>1.877</v>
      </c>
      <c r="E16" s="5">
        <f>1-Tabla2[[#This Row],[obj value]]/((Tabla2[[#This Row],[n]]*(Tabla2[[#This Row],[n]]-1))/2)</f>
        <v>0.97156060606060601</v>
      </c>
      <c r="F16" s="2">
        <v>15.678000000000001</v>
      </c>
      <c r="G16" s="2">
        <v>41</v>
      </c>
    </row>
    <row r="17" spans="1:7" x14ac:dyDescent="0.2">
      <c r="A17" s="2" t="s">
        <v>11</v>
      </c>
      <c r="B17" s="2">
        <v>12</v>
      </c>
      <c r="C17" s="2">
        <v>2</v>
      </c>
      <c r="D17" s="2">
        <v>3.8220000000000001</v>
      </c>
      <c r="E17" s="5">
        <f>1-Tabla2[[#This Row],[obj value]]/((Tabla2[[#This Row],[n]]*(Tabla2[[#This Row],[n]]-1))/2)</f>
        <v>0.94209090909090909</v>
      </c>
      <c r="F17" s="2">
        <v>0.61099999999999999</v>
      </c>
      <c r="G17" s="2">
        <v>32</v>
      </c>
    </row>
    <row r="18" spans="1:7" x14ac:dyDescent="0.2">
      <c r="A18" s="2" t="s">
        <v>11</v>
      </c>
      <c r="B18" s="2">
        <v>12</v>
      </c>
      <c r="C18" s="2">
        <v>3</v>
      </c>
      <c r="D18" s="2">
        <v>2.746</v>
      </c>
      <c r="E18" s="5">
        <f>1-Tabla2[[#This Row],[obj value]]/((Tabla2[[#This Row],[n]]*(Tabla2[[#This Row],[n]]-1))/2)</f>
        <v>0.95839393939393935</v>
      </c>
      <c r="F18" s="2">
        <v>6.6909999999999998</v>
      </c>
      <c r="G18" s="2">
        <v>44</v>
      </c>
    </row>
    <row r="19" spans="1:7" x14ac:dyDescent="0.2">
      <c r="A19" s="2" t="s">
        <v>11</v>
      </c>
      <c r="B19" s="2">
        <v>12</v>
      </c>
      <c r="C19" s="2">
        <v>4</v>
      </c>
      <c r="D19" s="2">
        <v>1.7809999999999999</v>
      </c>
      <c r="E19" s="5">
        <f>1-Tabla2[[#This Row],[obj value]]/((Tabla2[[#This Row],[n]]*(Tabla2[[#This Row],[n]]-1))/2)</f>
        <v>0.9730151515151515</v>
      </c>
      <c r="F19" s="2">
        <v>21.475999999999999</v>
      </c>
      <c r="G19" s="2">
        <v>42</v>
      </c>
    </row>
    <row r="20" spans="1:7" x14ac:dyDescent="0.2">
      <c r="A20" s="2" t="s">
        <v>12</v>
      </c>
      <c r="B20" s="2">
        <v>12</v>
      </c>
      <c r="C20" s="2">
        <v>2</v>
      </c>
      <c r="D20" s="2">
        <v>5.3339999999999996</v>
      </c>
      <c r="E20" s="5">
        <f>1-Tabla2[[#This Row],[obj value]]/((Tabla2[[#This Row],[n]]*(Tabla2[[#This Row],[n]]-1))/2)</f>
        <v>0.91918181818181821</v>
      </c>
      <c r="F20" s="2">
        <v>0.46500000000000002</v>
      </c>
      <c r="G20" s="2">
        <v>32</v>
      </c>
    </row>
    <row r="21" spans="1:7" x14ac:dyDescent="0.2">
      <c r="A21" s="2" t="s">
        <v>12</v>
      </c>
      <c r="B21" s="2">
        <v>12</v>
      </c>
      <c r="C21" s="2">
        <v>3</v>
      </c>
      <c r="D21" s="2">
        <v>0.92</v>
      </c>
      <c r="E21" s="5">
        <f>1-Tabla2[[#This Row],[obj value]]/((Tabla2[[#This Row],[n]]*(Tabla2[[#This Row],[n]]-1))/2)</f>
        <v>0.98606060606060608</v>
      </c>
      <c r="F21" s="2">
        <v>1.383</v>
      </c>
      <c r="G21" s="2">
        <v>33</v>
      </c>
    </row>
    <row r="22" spans="1:7" x14ac:dyDescent="0.2">
      <c r="A22" s="2" t="s">
        <v>12</v>
      </c>
      <c r="B22" s="2">
        <v>12</v>
      </c>
      <c r="C22" s="2">
        <v>4</v>
      </c>
      <c r="D22" s="2">
        <v>0.61599999999999999</v>
      </c>
      <c r="E22" s="5">
        <f>1-Tabla2[[#This Row],[obj value]]/((Tabla2[[#This Row],[n]]*(Tabla2[[#This Row],[n]]-1))/2)</f>
        <v>0.9906666666666667</v>
      </c>
      <c r="F22" s="2">
        <v>4.4450000000000003</v>
      </c>
      <c r="G22" s="2">
        <v>28</v>
      </c>
    </row>
    <row r="23" spans="1:7" x14ac:dyDescent="0.2">
      <c r="A23" s="2" t="s">
        <v>13</v>
      </c>
      <c r="B23" s="2">
        <v>12</v>
      </c>
      <c r="C23" s="2">
        <v>2</v>
      </c>
      <c r="D23" s="2">
        <v>4.2489999999999997</v>
      </c>
      <c r="E23" s="5">
        <f>1-Tabla2[[#This Row],[obj value]]/((Tabla2[[#This Row],[n]]*(Tabla2[[#This Row],[n]]-1))/2)</f>
        <v>0.93562121212121219</v>
      </c>
      <c r="F23" s="2">
        <v>0.44700000000000001</v>
      </c>
      <c r="G23" s="2">
        <v>27</v>
      </c>
    </row>
    <row r="24" spans="1:7" x14ac:dyDescent="0.2">
      <c r="A24" s="2" t="s">
        <v>13</v>
      </c>
      <c r="B24" s="2">
        <v>12</v>
      </c>
      <c r="C24" s="2">
        <v>3</v>
      </c>
      <c r="D24" s="2">
        <v>0.94199999999999995</v>
      </c>
      <c r="E24" s="5">
        <f>1-Tabla2[[#This Row],[obj value]]/((Tabla2[[#This Row],[n]]*(Tabla2[[#This Row],[n]]-1))/2)</f>
        <v>0.98572727272727267</v>
      </c>
      <c r="F24" s="2">
        <v>3.0129999999999999</v>
      </c>
      <c r="G24" s="2">
        <v>37</v>
      </c>
    </row>
    <row r="25" spans="1:7" x14ac:dyDescent="0.2">
      <c r="A25" s="2" t="s">
        <v>13</v>
      </c>
      <c r="B25" s="2">
        <v>12</v>
      </c>
      <c r="C25" s="2">
        <v>4</v>
      </c>
      <c r="D25" s="2">
        <v>0.67600000000000005</v>
      </c>
      <c r="E25" s="5">
        <f>1-Tabla2[[#This Row],[obj value]]/((Tabla2[[#This Row],[n]]*(Tabla2[[#This Row],[n]]-1))/2)</f>
        <v>0.98975757575757572</v>
      </c>
      <c r="F25" s="2">
        <v>12.481</v>
      </c>
      <c r="G25" s="2">
        <v>35</v>
      </c>
    </row>
    <row r="26" spans="1:7" x14ac:dyDescent="0.2">
      <c r="A26" s="2" t="s">
        <v>14</v>
      </c>
      <c r="B26" s="2">
        <v>12</v>
      </c>
      <c r="C26" s="2">
        <v>2</v>
      </c>
      <c r="D26" s="2">
        <v>5.0780000000000003</v>
      </c>
      <c r="E26" s="5">
        <f>1-Tabla2[[#This Row],[obj value]]/((Tabla2[[#This Row],[n]]*(Tabla2[[#This Row],[n]]-1))/2)</f>
        <v>0.92306060606060603</v>
      </c>
      <c r="F26" s="2">
        <v>0.61799999999999999</v>
      </c>
      <c r="G26" s="2">
        <v>37</v>
      </c>
    </row>
    <row r="27" spans="1:7" x14ac:dyDescent="0.2">
      <c r="A27" s="2" t="s">
        <v>14</v>
      </c>
      <c r="B27" s="2">
        <v>12</v>
      </c>
      <c r="C27" s="2">
        <v>3</v>
      </c>
      <c r="D27" s="2">
        <v>2.714</v>
      </c>
      <c r="E27" s="5">
        <f>1-Tabla2[[#This Row],[obj value]]/((Tabla2[[#This Row],[n]]*(Tabla2[[#This Row],[n]]-1))/2)</f>
        <v>0.95887878787878789</v>
      </c>
      <c r="F27" s="2">
        <v>2.2450000000000001</v>
      </c>
      <c r="G27" s="2">
        <v>44</v>
      </c>
    </row>
    <row r="28" spans="1:7" x14ac:dyDescent="0.2">
      <c r="A28" s="2" t="s">
        <v>14</v>
      </c>
      <c r="B28" s="2">
        <v>12</v>
      </c>
      <c r="C28" s="2">
        <v>4</v>
      </c>
      <c r="D28" s="2">
        <v>1.754</v>
      </c>
      <c r="E28" s="5">
        <f>1-Tabla2[[#This Row],[obj value]]/((Tabla2[[#This Row],[n]]*(Tabla2[[#This Row],[n]]-1))/2)</f>
        <v>0.97342424242424241</v>
      </c>
      <c r="F28" s="2">
        <v>11.593</v>
      </c>
      <c r="G28" s="2">
        <v>38</v>
      </c>
    </row>
    <row r="29" spans="1:7" x14ac:dyDescent="0.2">
      <c r="A29" s="2" t="s">
        <v>15</v>
      </c>
      <c r="B29" s="2">
        <v>12</v>
      </c>
      <c r="C29" s="2">
        <v>2</v>
      </c>
      <c r="D29" s="2">
        <v>5.5179999999999998</v>
      </c>
      <c r="E29" s="5">
        <f>1-Tabla2[[#This Row],[obj value]]/((Tabla2[[#This Row],[n]]*(Tabla2[[#This Row],[n]]-1))/2)</f>
        <v>0.91639393939393943</v>
      </c>
      <c r="F29" s="2">
        <v>0.57199999999999995</v>
      </c>
      <c r="G29" s="2">
        <v>30</v>
      </c>
    </row>
    <row r="30" spans="1:7" x14ac:dyDescent="0.2">
      <c r="A30" s="2" t="s">
        <v>15</v>
      </c>
      <c r="B30" s="2">
        <v>12</v>
      </c>
      <c r="C30" s="2">
        <v>3</v>
      </c>
      <c r="D30" s="2">
        <v>2.1720000000000002</v>
      </c>
      <c r="E30" s="5">
        <f>1-Tabla2[[#This Row],[obj value]]/((Tabla2[[#This Row],[n]]*(Tabla2[[#This Row],[n]]-1))/2)</f>
        <v>0.96709090909090911</v>
      </c>
      <c r="F30" s="2">
        <v>2.6880000000000002</v>
      </c>
      <c r="G30" s="2">
        <v>33</v>
      </c>
    </row>
    <row r="31" spans="1:7" x14ac:dyDescent="0.2">
      <c r="A31" s="2" t="s">
        <v>15</v>
      </c>
      <c r="B31" s="2">
        <v>12</v>
      </c>
      <c r="C31" s="2">
        <v>4</v>
      </c>
      <c r="D31" s="2">
        <v>1.48</v>
      </c>
      <c r="E31" s="5">
        <f>1-Tabla2[[#This Row],[obj value]]/((Tabla2[[#This Row],[n]]*(Tabla2[[#This Row],[n]]-1))/2)</f>
        <v>0.97757575757575754</v>
      </c>
      <c r="F31" s="2">
        <v>17.786000000000001</v>
      </c>
      <c r="G31" s="2">
        <v>43</v>
      </c>
    </row>
    <row r="32" spans="1:7" x14ac:dyDescent="0.2">
      <c r="A32" s="2" t="s">
        <v>16</v>
      </c>
      <c r="B32" s="2">
        <v>12</v>
      </c>
      <c r="C32" s="2">
        <v>2</v>
      </c>
      <c r="D32" s="2">
        <v>5.1790000000000003</v>
      </c>
      <c r="E32" s="5">
        <f>1-Tabla2[[#This Row],[obj value]]/((Tabla2[[#This Row],[n]]*(Tabla2[[#This Row],[n]]-1))/2)</f>
        <v>0.92153030303030303</v>
      </c>
      <c r="F32" s="2">
        <v>0.67200000000000004</v>
      </c>
      <c r="G32" s="2">
        <v>38</v>
      </c>
    </row>
    <row r="33" spans="1:7" x14ac:dyDescent="0.2">
      <c r="A33" s="2" t="s">
        <v>16</v>
      </c>
      <c r="B33" s="2">
        <v>12</v>
      </c>
      <c r="C33" s="2">
        <v>3</v>
      </c>
      <c r="D33" s="2">
        <v>3.4940000000000002</v>
      </c>
      <c r="E33" s="5">
        <f>1-Tabla2[[#This Row],[obj value]]/((Tabla2[[#This Row],[n]]*(Tabla2[[#This Row],[n]]-1))/2)</f>
        <v>0.94706060606060605</v>
      </c>
      <c r="F33" s="2">
        <v>2.5470000000000002</v>
      </c>
      <c r="G33" s="2">
        <v>35</v>
      </c>
    </row>
    <row r="34" spans="1:7" x14ac:dyDescent="0.2">
      <c r="A34" s="2" t="s">
        <v>16</v>
      </c>
      <c r="B34" s="2">
        <v>12</v>
      </c>
      <c r="C34" s="2">
        <v>4</v>
      </c>
      <c r="D34" s="2">
        <v>1.9710000000000001</v>
      </c>
      <c r="E34" s="5">
        <f>1-Tabla2[[#This Row],[obj value]]/((Tabla2[[#This Row],[n]]*(Tabla2[[#This Row],[n]]-1))/2)</f>
        <v>0.97013636363636369</v>
      </c>
      <c r="F34" s="2">
        <v>19.36</v>
      </c>
      <c r="G34" s="2">
        <v>48</v>
      </c>
    </row>
    <row r="35" spans="1:7" x14ac:dyDescent="0.2">
      <c r="A35" s="2" t="s">
        <v>17</v>
      </c>
      <c r="B35" s="2">
        <v>12</v>
      </c>
      <c r="C35" s="2">
        <v>2</v>
      </c>
      <c r="D35" s="2">
        <v>4.8869999999999996</v>
      </c>
      <c r="E35" s="5">
        <f>1-Tabla2[[#This Row],[obj value]]/((Tabla2[[#This Row],[n]]*(Tabla2[[#This Row],[n]]-1))/2)</f>
        <v>0.92595454545454547</v>
      </c>
      <c r="F35" s="2">
        <v>0.35299999999999998</v>
      </c>
      <c r="G35" s="2">
        <v>22</v>
      </c>
    </row>
    <row r="36" spans="1:7" x14ac:dyDescent="0.2">
      <c r="A36" s="2" t="s">
        <v>17</v>
      </c>
      <c r="B36" s="2">
        <v>12</v>
      </c>
      <c r="C36" s="2">
        <v>3</v>
      </c>
      <c r="D36" s="2">
        <v>3.2669999999999999</v>
      </c>
      <c r="E36" s="5">
        <f>1-Tabla2[[#This Row],[obj value]]/((Tabla2[[#This Row],[n]]*(Tabla2[[#This Row],[n]]-1))/2)</f>
        <v>0.95050000000000001</v>
      </c>
      <c r="F36" s="2">
        <v>3.1890000000000001</v>
      </c>
      <c r="G36" s="2">
        <v>33</v>
      </c>
    </row>
    <row r="37" spans="1:7" x14ac:dyDescent="0.2">
      <c r="A37" s="2" t="s">
        <v>17</v>
      </c>
      <c r="B37" s="2">
        <v>12</v>
      </c>
      <c r="C37" s="2">
        <v>4</v>
      </c>
      <c r="D37" s="2">
        <v>2.3650000000000002</v>
      </c>
      <c r="E37" s="5">
        <f>1-Tabla2[[#This Row],[obj value]]/((Tabla2[[#This Row],[n]]*(Tabla2[[#This Row],[n]]-1))/2)</f>
        <v>0.96416666666666662</v>
      </c>
      <c r="F37" s="2">
        <v>127.782</v>
      </c>
      <c r="G37" s="2">
        <v>42</v>
      </c>
    </row>
    <row r="38" spans="1:7" x14ac:dyDescent="0.2">
      <c r="A38" s="2" t="s">
        <v>18</v>
      </c>
      <c r="B38" s="2">
        <v>12</v>
      </c>
      <c r="C38" s="2">
        <v>2</v>
      </c>
      <c r="D38" s="2">
        <v>6.6239999999999997</v>
      </c>
      <c r="E38" s="5">
        <f>1-Tabla2[[#This Row],[obj value]]/((Tabla2[[#This Row],[n]]*(Tabla2[[#This Row],[n]]-1))/2)</f>
        <v>0.89963636363636368</v>
      </c>
      <c r="F38" s="2">
        <v>0.41899999999999998</v>
      </c>
      <c r="G38" s="2">
        <v>29</v>
      </c>
    </row>
    <row r="39" spans="1:7" x14ac:dyDescent="0.2">
      <c r="A39" s="2" t="s">
        <v>18</v>
      </c>
      <c r="B39" s="2">
        <v>12</v>
      </c>
      <c r="C39" s="2">
        <v>3</v>
      </c>
      <c r="D39" s="2">
        <v>1.8109999999999999</v>
      </c>
      <c r="E39" s="5">
        <f>1-Tabla2[[#This Row],[obj value]]/((Tabla2[[#This Row],[n]]*(Tabla2[[#This Row],[n]]-1))/2)</f>
        <v>0.97256060606060601</v>
      </c>
      <c r="F39" s="2">
        <v>1.591</v>
      </c>
      <c r="G39" s="2">
        <v>33</v>
      </c>
    </row>
    <row r="40" spans="1:7" x14ac:dyDescent="0.2">
      <c r="A40" s="2" t="s">
        <v>18</v>
      </c>
      <c r="B40" s="2">
        <v>12</v>
      </c>
      <c r="C40" s="2">
        <v>4</v>
      </c>
      <c r="D40" s="2">
        <v>0.67600000000000005</v>
      </c>
      <c r="E40" s="5">
        <f>1-Tabla2[[#This Row],[obj value]]/((Tabla2[[#This Row],[n]]*(Tabla2[[#This Row],[n]]-1))/2)</f>
        <v>0.98975757575757572</v>
      </c>
      <c r="F40" s="2">
        <v>5.7619999999999996</v>
      </c>
      <c r="G40" s="2">
        <v>31</v>
      </c>
    </row>
    <row r="41" spans="1:7" x14ac:dyDescent="0.2">
      <c r="A41" s="2" t="s">
        <v>19</v>
      </c>
      <c r="B41" s="2">
        <v>12</v>
      </c>
      <c r="C41" s="2">
        <v>2</v>
      </c>
      <c r="D41" s="2">
        <v>7.1820000000000004</v>
      </c>
      <c r="E41" s="5">
        <f>1-Tabla2[[#This Row],[obj value]]/((Tabla2[[#This Row],[n]]*(Tabla2[[#This Row],[n]]-1))/2)</f>
        <v>0.89118181818181819</v>
      </c>
      <c r="F41" s="2">
        <v>0.52500000000000002</v>
      </c>
      <c r="G41" s="2">
        <v>27</v>
      </c>
    </row>
    <row r="42" spans="1:7" x14ac:dyDescent="0.2">
      <c r="A42" s="2" t="s">
        <v>19</v>
      </c>
      <c r="B42" s="2">
        <v>12</v>
      </c>
      <c r="C42" s="2">
        <v>3</v>
      </c>
      <c r="D42" s="2">
        <v>2.2959999999999998</v>
      </c>
      <c r="E42" s="5">
        <f>1-Tabla2[[#This Row],[obj value]]/((Tabla2[[#This Row],[n]]*(Tabla2[[#This Row],[n]]-1))/2)</f>
        <v>0.96521212121212119</v>
      </c>
      <c r="F42" s="2">
        <v>5.3860000000000001</v>
      </c>
      <c r="G42" s="2">
        <v>29</v>
      </c>
    </row>
    <row r="43" spans="1:7" x14ac:dyDescent="0.2">
      <c r="A43" s="2" t="s">
        <v>19</v>
      </c>
      <c r="B43" s="2">
        <v>12</v>
      </c>
      <c r="C43" s="2">
        <v>4</v>
      </c>
      <c r="D43" s="2">
        <v>0.79400000000000004</v>
      </c>
      <c r="E43" s="5">
        <f>1-Tabla2[[#This Row],[obj value]]/((Tabla2[[#This Row],[n]]*(Tabla2[[#This Row],[n]]-1))/2)</f>
        <v>0.98796969696969694</v>
      </c>
      <c r="F43" s="2">
        <v>30.096</v>
      </c>
      <c r="G43" s="2">
        <v>38</v>
      </c>
    </row>
    <row r="44" spans="1:7" x14ac:dyDescent="0.2">
      <c r="A44" s="2" t="s">
        <v>20</v>
      </c>
      <c r="B44" s="2">
        <v>12</v>
      </c>
      <c r="C44" s="2">
        <v>2</v>
      </c>
      <c r="D44" s="2">
        <v>6.7510000000000003</v>
      </c>
      <c r="E44" s="5">
        <f>1-Tabla2[[#This Row],[obj value]]/((Tabla2[[#This Row],[n]]*(Tabla2[[#This Row],[n]]-1))/2)</f>
        <v>0.89771212121212118</v>
      </c>
      <c r="F44" s="2">
        <v>0.79200000000000004</v>
      </c>
      <c r="G44" s="2">
        <v>45</v>
      </c>
    </row>
    <row r="45" spans="1:7" x14ac:dyDescent="0.2">
      <c r="A45" s="2" t="s">
        <v>20</v>
      </c>
      <c r="B45" s="2">
        <v>12</v>
      </c>
      <c r="C45" s="2">
        <v>3</v>
      </c>
      <c r="D45" s="2">
        <v>3.0089999999999999</v>
      </c>
      <c r="E45" s="5">
        <f>1-Tabla2[[#This Row],[obj value]]/((Tabla2[[#This Row],[n]]*(Tabla2[[#This Row],[n]]-1))/2)</f>
        <v>0.95440909090909087</v>
      </c>
      <c r="F45" s="2">
        <v>2.585</v>
      </c>
      <c r="G45" s="2">
        <v>36</v>
      </c>
    </row>
    <row r="46" spans="1:7" x14ac:dyDescent="0.2">
      <c r="A46" s="2" t="s">
        <v>20</v>
      </c>
      <c r="B46" s="2">
        <v>12</v>
      </c>
      <c r="C46" s="2">
        <v>4</v>
      </c>
      <c r="D46" s="2">
        <v>1.895</v>
      </c>
      <c r="E46" s="5">
        <f>1-Tabla2[[#This Row],[obj value]]/((Tabla2[[#This Row],[n]]*(Tabla2[[#This Row],[n]]-1))/2)</f>
        <v>0.97128787878787881</v>
      </c>
      <c r="F46" s="2">
        <v>13.525</v>
      </c>
      <c r="G46" s="2">
        <v>38</v>
      </c>
    </row>
    <row r="47" spans="1:7" x14ac:dyDescent="0.2">
      <c r="A47" s="2" t="s">
        <v>21</v>
      </c>
      <c r="B47" s="2">
        <v>12</v>
      </c>
      <c r="C47" s="2">
        <v>2</v>
      </c>
      <c r="D47" s="2">
        <v>5.8159999999999998</v>
      </c>
      <c r="E47" s="5">
        <f>1-Tabla2[[#This Row],[obj value]]/((Tabla2[[#This Row],[n]]*(Tabla2[[#This Row],[n]]-1))/2)</f>
        <v>0.91187878787878784</v>
      </c>
      <c r="F47" s="2">
        <v>0.53</v>
      </c>
      <c r="G47" s="2">
        <v>30</v>
      </c>
    </row>
    <row r="48" spans="1:7" x14ac:dyDescent="0.2">
      <c r="A48" s="2" t="s">
        <v>21</v>
      </c>
      <c r="B48" s="2">
        <v>12</v>
      </c>
      <c r="C48" s="2">
        <v>3</v>
      </c>
      <c r="D48" s="2">
        <v>2.8639999999999999</v>
      </c>
      <c r="E48" s="5">
        <f>1-Tabla2[[#This Row],[obj value]]/((Tabla2[[#This Row],[n]]*(Tabla2[[#This Row],[n]]-1))/2)</f>
        <v>0.95660606060606057</v>
      </c>
      <c r="F48" s="2">
        <v>4.032</v>
      </c>
      <c r="G48" s="2">
        <v>36</v>
      </c>
    </row>
    <row r="49" spans="1:7" x14ac:dyDescent="0.2">
      <c r="A49" s="2" t="s">
        <v>21</v>
      </c>
      <c r="B49" s="2">
        <v>12</v>
      </c>
      <c r="C49" s="2">
        <v>4</v>
      </c>
      <c r="D49" s="2">
        <v>1.8620000000000001</v>
      </c>
      <c r="E49" s="5">
        <f>1-Tabla2[[#This Row],[obj value]]/((Tabla2[[#This Row],[n]]*(Tabla2[[#This Row],[n]]-1))/2)</f>
        <v>0.97178787878787876</v>
      </c>
      <c r="F49" s="2">
        <v>37.439</v>
      </c>
      <c r="G49" s="2">
        <v>45</v>
      </c>
    </row>
    <row r="50" spans="1:7" x14ac:dyDescent="0.2">
      <c r="A50" s="2" t="s">
        <v>22</v>
      </c>
      <c r="B50" s="2">
        <v>12</v>
      </c>
      <c r="C50" s="2">
        <v>2</v>
      </c>
      <c r="D50" s="2">
        <v>6.8330000000000002</v>
      </c>
      <c r="E50" s="5">
        <f>1-Tabla2[[#This Row],[obj value]]/((Tabla2[[#This Row],[n]]*(Tabla2[[#This Row],[n]]-1))/2)</f>
        <v>0.89646969696969703</v>
      </c>
      <c r="F50" s="2">
        <v>0.76900000000000002</v>
      </c>
      <c r="G50" s="2">
        <v>40</v>
      </c>
    </row>
    <row r="51" spans="1:7" x14ac:dyDescent="0.2">
      <c r="A51" s="2" t="s">
        <v>22</v>
      </c>
      <c r="B51" s="2">
        <v>12</v>
      </c>
      <c r="C51" s="2">
        <v>3</v>
      </c>
      <c r="D51" s="2">
        <v>3.2120000000000002</v>
      </c>
      <c r="E51" s="5">
        <f>1-Tabla2[[#This Row],[obj value]]/((Tabla2[[#This Row],[n]]*(Tabla2[[#This Row],[n]]-1))/2)</f>
        <v>0.95133333333333336</v>
      </c>
      <c r="F51" s="2">
        <v>2.5110000000000001</v>
      </c>
      <c r="G51" s="2">
        <v>36</v>
      </c>
    </row>
    <row r="52" spans="1:7" x14ac:dyDescent="0.2">
      <c r="A52" s="2" t="s">
        <v>22</v>
      </c>
      <c r="B52" s="2">
        <v>12</v>
      </c>
      <c r="C52" s="2">
        <v>4</v>
      </c>
      <c r="D52" s="2">
        <v>2.157</v>
      </c>
      <c r="E52" s="5">
        <f>1-Tabla2[[#This Row],[obj value]]/((Tabla2[[#This Row],[n]]*(Tabla2[[#This Row],[n]]-1))/2)</f>
        <v>0.96731818181818185</v>
      </c>
      <c r="F52" s="2">
        <v>19.172999999999998</v>
      </c>
      <c r="G52" s="2">
        <v>32</v>
      </c>
    </row>
    <row r="53" spans="1:7" x14ac:dyDescent="0.2">
      <c r="A53" s="2" t="s">
        <v>23</v>
      </c>
      <c r="B53" s="2">
        <v>12</v>
      </c>
      <c r="C53" s="2">
        <v>2</v>
      </c>
      <c r="D53" s="2">
        <v>6.0720000000000001</v>
      </c>
      <c r="E53" s="5">
        <f>1-Tabla2[[#This Row],[obj value]]/((Tabla2[[#This Row],[n]]*(Tabla2[[#This Row],[n]]-1))/2)</f>
        <v>0.90800000000000003</v>
      </c>
      <c r="F53" s="2">
        <v>0.46400000000000002</v>
      </c>
      <c r="G53" s="2">
        <v>27</v>
      </c>
    </row>
    <row r="54" spans="1:7" x14ac:dyDescent="0.2">
      <c r="A54" s="2" t="s">
        <v>23</v>
      </c>
      <c r="B54" s="2">
        <v>12</v>
      </c>
      <c r="C54" s="2">
        <v>3</v>
      </c>
      <c r="D54" s="2">
        <v>3.07</v>
      </c>
      <c r="E54" s="5">
        <f>1-Tabla2[[#This Row],[obj value]]/((Tabla2[[#This Row],[n]]*(Tabla2[[#This Row],[n]]-1))/2)</f>
        <v>0.95348484848484849</v>
      </c>
      <c r="F54" s="2">
        <v>7.3079999999999998</v>
      </c>
      <c r="G54" s="2">
        <v>46</v>
      </c>
    </row>
    <row r="55" spans="1:7" x14ac:dyDescent="0.2">
      <c r="A55" s="2" t="s">
        <v>23</v>
      </c>
      <c r="B55" s="2">
        <v>12</v>
      </c>
      <c r="C55" s="2">
        <v>4</v>
      </c>
      <c r="D55" s="2">
        <v>2.0680000000000001</v>
      </c>
      <c r="E55" s="5">
        <f>1-Tabla2[[#This Row],[obj value]]/((Tabla2[[#This Row],[n]]*(Tabla2[[#This Row],[n]]-1))/2)</f>
        <v>0.96866666666666668</v>
      </c>
      <c r="F55" s="2">
        <v>72.218000000000004</v>
      </c>
      <c r="G55" s="2">
        <v>53</v>
      </c>
    </row>
    <row r="56" spans="1:7" x14ac:dyDescent="0.2">
      <c r="A56" s="2" t="s">
        <v>24</v>
      </c>
      <c r="B56" s="2">
        <v>24</v>
      </c>
      <c r="C56" s="2">
        <v>2</v>
      </c>
      <c r="D56" s="2">
        <v>2.6080000000000001</v>
      </c>
      <c r="E56" s="5">
        <f>1-Tabla2[[#This Row],[obj value]]/((Tabla2[[#This Row],[n]]*(Tabla2[[#This Row],[n]]-1))/2)</f>
        <v>0.99055072463768112</v>
      </c>
      <c r="F56" s="2">
        <v>2.0259999999999998</v>
      </c>
      <c r="G56" s="2">
        <v>22</v>
      </c>
    </row>
    <row r="57" spans="1:7" x14ac:dyDescent="0.2">
      <c r="A57" s="2" t="s">
        <v>24</v>
      </c>
      <c r="B57" s="2">
        <v>24</v>
      </c>
      <c r="C57" s="2">
        <v>3</v>
      </c>
      <c r="D57" s="2">
        <v>1.83</v>
      </c>
      <c r="E57" s="5">
        <f>1-Tabla2[[#This Row],[obj value]]/((Tabla2[[#This Row],[n]]*(Tabla2[[#This Row],[n]]-1))/2)</f>
        <v>0.99336956521739128</v>
      </c>
      <c r="F57" s="2">
        <v>9.4209999999999994</v>
      </c>
      <c r="G57" s="2">
        <v>35</v>
      </c>
    </row>
    <row r="58" spans="1:7" x14ac:dyDescent="0.2">
      <c r="A58" s="2" t="s">
        <v>24</v>
      </c>
      <c r="B58" s="2">
        <v>24</v>
      </c>
      <c r="C58" s="2">
        <v>4</v>
      </c>
      <c r="D58" s="2">
        <v>1.1779999999999999</v>
      </c>
      <c r="E58" s="5">
        <f>1-Tabla2[[#This Row],[obj value]]/((Tabla2[[#This Row],[n]]*(Tabla2[[#This Row],[n]]-1))/2)</f>
        <v>0.99573188405797097</v>
      </c>
      <c r="F58" s="2">
        <v>72.683999999999997</v>
      </c>
      <c r="G58" s="2">
        <v>47</v>
      </c>
    </row>
    <row r="59" spans="1:7" x14ac:dyDescent="0.2">
      <c r="A59" s="2" t="s">
        <v>25</v>
      </c>
      <c r="B59" s="2">
        <v>24</v>
      </c>
      <c r="C59" s="2">
        <v>2</v>
      </c>
      <c r="D59" s="2">
        <v>2.472</v>
      </c>
      <c r="E59" s="5">
        <f>1-Tabla2[[#This Row],[obj value]]/((Tabla2[[#This Row],[n]]*(Tabla2[[#This Row],[n]]-1))/2)</f>
        <v>0.99104347826086958</v>
      </c>
      <c r="F59" s="2">
        <v>2.6760000000000002</v>
      </c>
      <c r="G59" s="2">
        <v>26</v>
      </c>
    </row>
    <row r="60" spans="1:7" x14ac:dyDescent="0.2">
      <c r="A60" s="2" t="s">
        <v>25</v>
      </c>
      <c r="B60" s="2">
        <v>24</v>
      </c>
      <c r="C60" s="2">
        <v>3</v>
      </c>
      <c r="D60" s="2">
        <v>1.679</v>
      </c>
      <c r="E60" s="5">
        <f>1-Tabla2[[#This Row],[obj value]]/((Tabla2[[#This Row],[n]]*(Tabla2[[#This Row],[n]]-1))/2)</f>
        <v>0.99391666666666667</v>
      </c>
      <c r="F60" s="2">
        <v>16.550999999999998</v>
      </c>
      <c r="G60" s="2">
        <v>30</v>
      </c>
    </row>
    <row r="61" spans="1:7" x14ac:dyDescent="0.2">
      <c r="A61" s="2" t="s">
        <v>25</v>
      </c>
      <c r="B61" s="2">
        <v>24</v>
      </c>
      <c r="C61" s="2">
        <v>4</v>
      </c>
      <c r="D61" s="2">
        <v>0.91800000000000004</v>
      </c>
      <c r="E61" s="5">
        <f>1-Tabla2[[#This Row],[obj value]]/((Tabla2[[#This Row],[n]]*(Tabla2[[#This Row],[n]]-1))/2)</f>
        <v>0.9966739130434783</v>
      </c>
      <c r="F61" s="2">
        <v>97.58</v>
      </c>
      <c r="G61" s="2">
        <v>38</v>
      </c>
    </row>
    <row r="62" spans="1:7" x14ac:dyDescent="0.2">
      <c r="A62" s="2" t="s">
        <v>26</v>
      </c>
      <c r="B62" s="2">
        <v>24</v>
      </c>
      <c r="C62" s="2">
        <v>2</v>
      </c>
      <c r="D62" s="2">
        <v>9.3659999999999997</v>
      </c>
      <c r="E62" s="5">
        <f>1-Tabla2[[#This Row],[obj value]]/((Tabla2[[#This Row],[n]]*(Tabla2[[#This Row],[n]]-1))/2)</f>
        <v>0.96606521739130435</v>
      </c>
      <c r="F62" s="2">
        <v>3.4060000000000001</v>
      </c>
      <c r="G62" s="2">
        <v>30</v>
      </c>
    </row>
    <row r="63" spans="1:7" x14ac:dyDescent="0.2">
      <c r="A63" s="2" t="s">
        <v>26</v>
      </c>
      <c r="B63" s="2">
        <v>24</v>
      </c>
      <c r="C63" s="2">
        <v>3</v>
      </c>
      <c r="D63" s="2">
        <v>6.649</v>
      </c>
      <c r="E63" s="5">
        <f>1-Tabla2[[#This Row],[obj value]]/((Tabla2[[#This Row],[n]]*(Tabla2[[#This Row],[n]]-1))/2)</f>
        <v>0.97590942028985506</v>
      </c>
      <c r="F63" s="2">
        <v>19.513000000000002</v>
      </c>
      <c r="G63" s="2">
        <v>34</v>
      </c>
    </row>
    <row r="64" spans="1:7" x14ac:dyDescent="0.2">
      <c r="A64" s="2" t="s">
        <v>26</v>
      </c>
      <c r="B64" s="2">
        <v>24</v>
      </c>
      <c r="C64" s="2">
        <v>4</v>
      </c>
      <c r="D64" s="2">
        <v>4.8899999999999997</v>
      </c>
      <c r="E64" s="5">
        <f>1-Tabla2[[#This Row],[obj value]]/((Tabla2[[#This Row],[n]]*(Tabla2[[#This Row],[n]]-1))/2)</f>
        <v>0.9822826086956522</v>
      </c>
      <c r="F64" s="2">
        <v>276.57900000000001</v>
      </c>
      <c r="G64" s="2">
        <v>42</v>
      </c>
    </row>
    <row r="65" spans="1:7" x14ac:dyDescent="0.2">
      <c r="A65" s="2" t="s">
        <v>27</v>
      </c>
      <c r="B65" s="2">
        <v>24</v>
      </c>
      <c r="C65" s="2">
        <v>2</v>
      </c>
      <c r="D65" s="2">
        <v>10.012</v>
      </c>
      <c r="E65" s="5">
        <f>1-Tabla2[[#This Row],[obj value]]/((Tabla2[[#This Row],[n]]*(Tabla2[[#This Row],[n]]-1))/2)</f>
        <v>0.96372463768115946</v>
      </c>
      <c r="F65" s="2">
        <v>3.923</v>
      </c>
      <c r="G65" s="2">
        <v>30</v>
      </c>
    </row>
    <row r="66" spans="1:7" x14ac:dyDescent="0.2">
      <c r="A66" s="2" t="s">
        <v>27</v>
      </c>
      <c r="B66" s="2">
        <v>24</v>
      </c>
      <c r="C66" s="2">
        <v>3</v>
      </c>
      <c r="D66" s="2">
        <v>7.4020000000000001</v>
      </c>
      <c r="E66" s="5">
        <f>1-Tabla2[[#This Row],[obj value]]/((Tabla2[[#This Row],[n]]*(Tabla2[[#This Row],[n]]-1))/2)</f>
        <v>0.97318115942028982</v>
      </c>
      <c r="F66" s="2">
        <v>145.041</v>
      </c>
      <c r="G66" s="2">
        <v>38</v>
      </c>
    </row>
    <row r="67" spans="1:7" x14ac:dyDescent="0.2">
      <c r="A67" s="2" t="s">
        <v>27</v>
      </c>
      <c r="B67" s="2">
        <v>24</v>
      </c>
      <c r="C67" s="2">
        <v>4</v>
      </c>
      <c r="D67" s="2">
        <v>4.9530000000000003</v>
      </c>
      <c r="E67" s="5">
        <f>1-Tabla2[[#This Row],[obj value]]/((Tabla2[[#This Row],[n]]*(Tabla2[[#This Row],[n]]-1))/2)</f>
        <v>0.98205434782608692</v>
      </c>
      <c r="F67" s="2">
        <v>2714.2930000000001</v>
      </c>
      <c r="G67" s="2">
        <v>50</v>
      </c>
    </row>
    <row r="68" spans="1:7" x14ac:dyDescent="0.2">
      <c r="A68" s="2" t="s">
        <v>28</v>
      </c>
      <c r="B68" s="2">
        <v>24</v>
      </c>
      <c r="C68" s="2">
        <v>2</v>
      </c>
      <c r="D68" s="2">
        <v>13.57</v>
      </c>
      <c r="E68" s="5">
        <f>1-Tabla2[[#This Row],[obj value]]/((Tabla2[[#This Row],[n]]*(Tabla2[[#This Row],[n]]-1))/2)</f>
        <v>0.95083333333333331</v>
      </c>
      <c r="F68" s="2">
        <v>3.5830000000000002</v>
      </c>
      <c r="G68" s="2">
        <v>30</v>
      </c>
    </row>
    <row r="69" spans="1:7" x14ac:dyDescent="0.2">
      <c r="A69" s="2" t="s">
        <v>28</v>
      </c>
      <c r="B69" s="2">
        <v>24</v>
      </c>
      <c r="C69" s="2">
        <v>3</v>
      </c>
      <c r="D69" s="2">
        <v>9.1489999999999991</v>
      </c>
      <c r="E69" s="5">
        <f>1-Tabla2[[#This Row],[obj value]]/((Tabla2[[#This Row],[n]]*(Tabla2[[#This Row],[n]]-1))/2)</f>
        <v>0.96685144927536237</v>
      </c>
      <c r="F69" s="2">
        <v>43.848999999999997</v>
      </c>
      <c r="G69" s="2">
        <v>42</v>
      </c>
    </row>
    <row r="70" spans="1:7" x14ac:dyDescent="0.2">
      <c r="A70" s="2" t="s">
        <v>28</v>
      </c>
      <c r="B70" s="2">
        <v>24</v>
      </c>
      <c r="C70" s="2">
        <v>4</v>
      </c>
      <c r="D70" s="2">
        <v>6.9249999999999998</v>
      </c>
      <c r="E70" s="5">
        <f>1-Tabla2[[#This Row],[obj value]]/((Tabla2[[#This Row],[n]]*(Tabla2[[#This Row],[n]]-1))/2)</f>
        <v>0.97490942028985506</v>
      </c>
      <c r="F70" s="2">
        <v>1378.509</v>
      </c>
      <c r="G70" s="2">
        <v>71</v>
      </c>
    </row>
    <row r="71" spans="1:7" x14ac:dyDescent="0.2">
      <c r="A71" s="2" t="s">
        <v>29</v>
      </c>
      <c r="B71" s="2">
        <v>24</v>
      </c>
      <c r="C71" s="2">
        <v>2</v>
      </c>
      <c r="D71" s="2">
        <v>13.928000000000001</v>
      </c>
      <c r="E71" s="5">
        <f>1-Tabla2[[#This Row],[obj value]]/((Tabla2[[#This Row],[n]]*(Tabla2[[#This Row],[n]]-1))/2)</f>
        <v>0.949536231884058</v>
      </c>
      <c r="F71" s="2">
        <v>6.1710000000000003</v>
      </c>
      <c r="G71" s="2">
        <v>31</v>
      </c>
    </row>
    <row r="72" spans="1:7" x14ac:dyDescent="0.2">
      <c r="A72" s="2" t="s">
        <v>29</v>
      </c>
      <c r="B72" s="2">
        <v>24</v>
      </c>
      <c r="C72" s="2">
        <v>3</v>
      </c>
      <c r="D72" s="2">
        <v>10.16</v>
      </c>
      <c r="E72" s="5">
        <f>1-Tabla2[[#This Row],[obj value]]/((Tabla2[[#This Row],[n]]*(Tabla2[[#This Row],[n]]-1))/2)</f>
        <v>0.96318840579710141</v>
      </c>
      <c r="F72" s="2">
        <v>246.70400000000001</v>
      </c>
      <c r="G72" s="2">
        <v>43</v>
      </c>
    </row>
    <row r="73" spans="1:7" x14ac:dyDescent="0.2">
      <c r="A73" s="2" t="s">
        <v>29</v>
      </c>
      <c r="B73" s="2">
        <v>24</v>
      </c>
      <c r="C73" s="2">
        <v>4</v>
      </c>
      <c r="D73" s="2">
        <v>7.1059999999999999</v>
      </c>
      <c r="E73" s="5">
        <f>1-Tabla2[[#This Row],[obj value]]/((Tabla2[[#This Row],[n]]*(Tabla2[[#This Row],[n]]-1))/2)</f>
        <v>0.9742536231884058</v>
      </c>
      <c r="F73" s="2">
        <v>4423.6499999999996</v>
      </c>
      <c r="G73" s="2">
        <v>55</v>
      </c>
    </row>
    <row r="74" spans="1:7" x14ac:dyDescent="0.2">
      <c r="A74" s="2" t="s">
        <v>30</v>
      </c>
      <c r="B74" s="2">
        <v>24</v>
      </c>
      <c r="C74" s="2">
        <v>2</v>
      </c>
      <c r="D74" s="2">
        <v>19.300999999999998</v>
      </c>
      <c r="E74" s="5">
        <f>1-Tabla2[[#This Row],[obj value]]/((Tabla2[[#This Row],[n]]*(Tabla2[[#This Row],[n]]-1))/2)</f>
        <v>0.93006884057971018</v>
      </c>
      <c r="F74" s="2">
        <v>3.7519999999999998</v>
      </c>
      <c r="G74" s="2">
        <v>38</v>
      </c>
    </row>
    <row r="75" spans="1:7" x14ac:dyDescent="0.2">
      <c r="A75" s="2" t="s">
        <v>30</v>
      </c>
      <c r="B75" s="2">
        <v>24</v>
      </c>
      <c r="C75" s="2">
        <v>3</v>
      </c>
      <c r="D75" s="2">
        <v>2.657</v>
      </c>
      <c r="E75" s="5">
        <f>1-Tabla2[[#This Row],[obj value]]/((Tabla2[[#This Row],[n]]*(Tabla2[[#This Row],[n]]-1))/2)</f>
        <v>0.99037318840579713</v>
      </c>
      <c r="F75" s="2">
        <v>25.132000000000001</v>
      </c>
      <c r="G75" s="2">
        <v>38</v>
      </c>
    </row>
    <row r="76" spans="1:7" x14ac:dyDescent="0.2">
      <c r="A76" s="2" t="s">
        <v>30</v>
      </c>
      <c r="B76" s="2">
        <v>24</v>
      </c>
      <c r="C76" s="2">
        <v>4</v>
      </c>
      <c r="D76" s="2">
        <v>1.978</v>
      </c>
      <c r="E76" s="5">
        <f>1-Tabla2[[#This Row],[obj value]]/((Tabla2[[#This Row],[n]]*(Tabla2[[#This Row],[n]]-1))/2)</f>
        <v>0.99283333333333335</v>
      </c>
      <c r="F76" s="2">
        <v>164.93299999999999</v>
      </c>
      <c r="G76" s="2">
        <v>35</v>
      </c>
    </row>
    <row r="77" spans="1:7" x14ac:dyDescent="0.2">
      <c r="A77" s="2" t="s">
        <v>31</v>
      </c>
      <c r="B77" s="2">
        <v>24</v>
      </c>
      <c r="C77" s="2">
        <v>2</v>
      </c>
      <c r="D77" s="2">
        <v>22.114000000000001</v>
      </c>
      <c r="E77" s="5">
        <f>1-Tabla2[[#This Row],[obj value]]/((Tabla2[[#This Row],[n]]*(Tabla2[[#This Row],[n]]-1))/2)</f>
        <v>0.91987681159420287</v>
      </c>
      <c r="F77" s="2">
        <v>7.9219999999999997</v>
      </c>
      <c r="G77" s="2">
        <v>30</v>
      </c>
    </row>
    <row r="78" spans="1:7" x14ac:dyDescent="0.2">
      <c r="A78" s="2" t="s">
        <v>31</v>
      </c>
      <c r="B78" s="2">
        <v>24</v>
      </c>
      <c r="C78" s="2">
        <v>3</v>
      </c>
      <c r="D78" s="2">
        <v>2.6549999999999998</v>
      </c>
      <c r="E78" s="5">
        <f>1-Tabla2[[#This Row],[obj value]]/((Tabla2[[#This Row],[n]]*(Tabla2[[#This Row],[n]]-1))/2)</f>
        <v>0.99038043478260873</v>
      </c>
      <c r="F78" s="2">
        <v>134.24299999999999</v>
      </c>
      <c r="G78" s="2">
        <v>33</v>
      </c>
    </row>
    <row r="79" spans="1:7" x14ac:dyDescent="0.2">
      <c r="A79" s="2" t="s">
        <v>31</v>
      </c>
      <c r="B79" s="2">
        <v>24</v>
      </c>
      <c r="C79" s="2">
        <v>4</v>
      </c>
      <c r="D79" s="2">
        <v>2.0790000000000002</v>
      </c>
      <c r="E79" s="5">
        <f>1-Tabla2[[#This Row],[obj value]]/((Tabla2[[#This Row],[n]]*(Tabla2[[#This Row],[n]]-1))/2)</f>
        <v>0.9924673913043478</v>
      </c>
      <c r="F79" s="2">
        <v>959.35500000000002</v>
      </c>
      <c r="G79" s="2">
        <v>34</v>
      </c>
    </row>
    <row r="80" spans="1:7" x14ac:dyDescent="0.2">
      <c r="A80" s="2" t="s">
        <v>32</v>
      </c>
      <c r="B80" s="2">
        <v>24</v>
      </c>
      <c r="C80" s="2">
        <v>2</v>
      </c>
      <c r="D80" s="2">
        <v>21.853999999999999</v>
      </c>
      <c r="E80" s="5">
        <f>1-Tabla2[[#This Row],[obj value]]/((Tabla2[[#This Row],[n]]*(Tabla2[[#This Row],[n]]-1))/2)</f>
        <v>0.9208188405797102</v>
      </c>
      <c r="F80" s="2">
        <v>6.14</v>
      </c>
      <c r="G80" s="2">
        <v>46</v>
      </c>
    </row>
    <row r="81" spans="1:7" x14ac:dyDescent="0.2">
      <c r="A81" s="2" t="s">
        <v>32</v>
      </c>
      <c r="B81" s="2">
        <v>24</v>
      </c>
      <c r="C81" s="2">
        <v>3</v>
      </c>
      <c r="D81" s="2">
        <v>8.2929999999999993</v>
      </c>
      <c r="E81" s="5">
        <f>1-Tabla2[[#This Row],[obj value]]/((Tabla2[[#This Row],[n]]*(Tabla2[[#This Row],[n]]-1))/2)</f>
        <v>0.96995289855072464</v>
      </c>
      <c r="F81" s="2">
        <v>36.695999999999998</v>
      </c>
      <c r="G81" s="2">
        <v>42</v>
      </c>
    </row>
    <row r="82" spans="1:7" x14ac:dyDescent="0.2">
      <c r="A82" s="2" t="s">
        <v>32</v>
      </c>
      <c r="B82" s="2">
        <v>24</v>
      </c>
      <c r="C82" s="2">
        <v>4</v>
      </c>
      <c r="D82" s="2">
        <v>5.7949999999999999</v>
      </c>
      <c r="E82" s="5">
        <f>1-Tabla2[[#This Row],[obj value]]/((Tabla2[[#This Row],[n]]*(Tabla2[[#This Row],[n]]-1))/2)</f>
        <v>0.97900362318840584</v>
      </c>
      <c r="F82" s="2">
        <v>597.58900000000006</v>
      </c>
      <c r="G82" s="2">
        <v>54</v>
      </c>
    </row>
    <row r="83" spans="1:7" x14ac:dyDescent="0.2">
      <c r="A83" s="2" t="s">
        <v>33</v>
      </c>
      <c r="B83" s="2">
        <v>24</v>
      </c>
      <c r="C83" s="2">
        <v>2</v>
      </c>
      <c r="D83" s="2">
        <v>24.664000000000001</v>
      </c>
      <c r="E83" s="5">
        <f>1-Tabla2[[#This Row],[obj value]]/((Tabla2[[#This Row],[n]]*(Tabla2[[#This Row],[n]]-1))/2)</f>
        <v>0.91063768115942034</v>
      </c>
      <c r="F83" s="2">
        <v>10.401999999999999</v>
      </c>
      <c r="G83" s="2">
        <v>31</v>
      </c>
    </row>
    <row r="84" spans="1:7" x14ac:dyDescent="0.2">
      <c r="A84" s="2" t="s">
        <v>33</v>
      </c>
      <c r="B84" s="2">
        <v>24</v>
      </c>
      <c r="C84" s="2">
        <v>3</v>
      </c>
      <c r="D84" s="2">
        <v>8.7669999999999995</v>
      </c>
      <c r="E84" s="5">
        <f>1-Tabla2[[#This Row],[obj value]]/((Tabla2[[#This Row],[n]]*(Tabla2[[#This Row],[n]]-1))/2)</f>
        <v>0.96823550724637686</v>
      </c>
      <c r="F84" s="2">
        <v>434.18299999999999</v>
      </c>
      <c r="G84" s="2">
        <v>34</v>
      </c>
    </row>
    <row r="85" spans="1:7" x14ac:dyDescent="0.2">
      <c r="A85" s="2" t="s">
        <v>33</v>
      </c>
      <c r="B85" s="2">
        <v>24</v>
      </c>
      <c r="C85" s="2">
        <v>4</v>
      </c>
      <c r="D85" s="2">
        <v>6.8410000000000002</v>
      </c>
      <c r="E85" s="5">
        <f>1-Tabla2[[#This Row],[obj value]]/((Tabla2[[#This Row],[n]]*(Tabla2[[#This Row],[n]]-1))/2)</f>
        <v>0.97521376811594207</v>
      </c>
      <c r="F85" s="2">
        <v>4380.6980000000003</v>
      </c>
      <c r="G85" s="2">
        <v>53</v>
      </c>
    </row>
    <row r="86" spans="1:7" x14ac:dyDescent="0.2">
      <c r="A86" s="2" t="s">
        <v>34</v>
      </c>
      <c r="B86" s="2">
        <v>24</v>
      </c>
      <c r="C86" s="2">
        <v>2</v>
      </c>
      <c r="D86" s="2">
        <v>25.193000000000001</v>
      </c>
      <c r="E86" s="5">
        <f>1-Tabla2[[#This Row],[obj value]]/((Tabla2[[#This Row],[n]]*(Tabla2[[#This Row],[n]]-1))/2)</f>
        <v>0.90872101449275366</v>
      </c>
      <c r="F86" s="2">
        <v>7.6589999999999998</v>
      </c>
      <c r="G86" s="2">
        <v>48</v>
      </c>
    </row>
    <row r="87" spans="1:7" x14ac:dyDescent="0.2">
      <c r="A87" s="2" t="s">
        <v>34</v>
      </c>
      <c r="B87" s="2">
        <v>24</v>
      </c>
      <c r="C87" s="2">
        <v>3</v>
      </c>
      <c r="D87" s="2">
        <v>11.226000000000001</v>
      </c>
      <c r="E87" s="5">
        <f>1-Tabla2[[#This Row],[obj value]]/((Tabla2[[#This Row],[n]]*(Tabla2[[#This Row],[n]]-1))/2)</f>
        <v>0.95932608695652177</v>
      </c>
      <c r="F87" s="2">
        <v>92.822000000000003</v>
      </c>
      <c r="G87" s="2">
        <v>49</v>
      </c>
    </row>
    <row r="88" spans="1:7" x14ac:dyDescent="0.2">
      <c r="A88" s="2" t="s">
        <v>34</v>
      </c>
      <c r="B88" s="2">
        <v>24</v>
      </c>
      <c r="C88" s="2">
        <v>4</v>
      </c>
      <c r="D88" s="2">
        <v>7.9160000000000004</v>
      </c>
      <c r="E88" s="5">
        <f>1-Tabla2[[#This Row],[obj value]]/((Tabla2[[#This Row],[n]]*(Tabla2[[#This Row],[n]]-1))/2)</f>
        <v>0.97131884057971019</v>
      </c>
      <c r="F88" s="2">
        <v>4620.8609999999999</v>
      </c>
      <c r="G88" s="2">
        <v>53</v>
      </c>
    </row>
    <row r="89" spans="1:7" x14ac:dyDescent="0.2">
      <c r="A89" s="2" t="s">
        <v>35</v>
      </c>
      <c r="B89" s="2">
        <v>24</v>
      </c>
      <c r="C89" s="2">
        <v>2</v>
      </c>
      <c r="D89" s="2">
        <v>29.030999999999999</v>
      </c>
      <c r="E89" s="5">
        <f>1-Tabla2[[#This Row],[obj value]]/((Tabla2[[#This Row],[n]]*(Tabla2[[#This Row],[n]]-1))/2)</f>
        <v>0.89481521739130432</v>
      </c>
      <c r="F89" s="2">
        <v>12.492000000000001</v>
      </c>
      <c r="G89" s="2">
        <v>33</v>
      </c>
    </row>
    <row r="90" spans="1:7" x14ac:dyDescent="0.2">
      <c r="A90" s="2" t="s">
        <v>35</v>
      </c>
      <c r="B90" s="2">
        <v>24</v>
      </c>
      <c r="C90" s="2">
        <v>3</v>
      </c>
      <c r="D90" s="2">
        <v>12.629</v>
      </c>
      <c r="E90" s="5">
        <f>1-Tabla2[[#This Row],[obj value]]/((Tabla2[[#This Row],[n]]*(Tabla2[[#This Row],[n]]-1))/2)</f>
        <v>0.95424275362318844</v>
      </c>
      <c r="F90" s="2">
        <v>2115.681</v>
      </c>
      <c r="G90" s="2">
        <v>59</v>
      </c>
    </row>
    <row r="91" spans="1:7" x14ac:dyDescent="0.2">
      <c r="A91" s="2" t="s">
        <v>35</v>
      </c>
      <c r="B91" s="2">
        <v>24</v>
      </c>
      <c r="C91" s="2">
        <v>4</v>
      </c>
      <c r="D91" s="2">
        <v>9.6509999999999998</v>
      </c>
      <c r="E91" s="5">
        <f>1-Tabla2[[#This Row],[obj value]]/((Tabla2[[#This Row],[n]]*(Tabla2[[#This Row],[n]]-1))/2)</f>
        <v>0.96503260869565222</v>
      </c>
      <c r="F91" s="2">
        <v>7327.5129999999999</v>
      </c>
      <c r="G91" s="2">
        <v>61</v>
      </c>
    </row>
    <row r="92" spans="1:7" x14ac:dyDescent="0.2">
      <c r="A92" s="2" t="s">
        <v>36</v>
      </c>
      <c r="B92" s="2">
        <v>24</v>
      </c>
      <c r="C92" s="2">
        <v>2</v>
      </c>
      <c r="D92" s="2">
        <v>24.222999999999999</v>
      </c>
      <c r="E92" s="5">
        <f>1-Tabla2[[#This Row],[obj value]]/((Tabla2[[#This Row],[n]]*(Tabla2[[#This Row],[n]]-1))/2)</f>
        <v>0.91223550724637681</v>
      </c>
      <c r="F92" s="2">
        <v>4.6820000000000004</v>
      </c>
      <c r="G92" s="2">
        <v>32</v>
      </c>
    </row>
    <row r="93" spans="1:7" x14ac:dyDescent="0.2">
      <c r="A93" s="2" t="s">
        <v>36</v>
      </c>
      <c r="B93" s="2">
        <v>24</v>
      </c>
      <c r="C93" s="2">
        <v>3</v>
      </c>
      <c r="D93" s="2">
        <v>9.7590000000000003</v>
      </c>
      <c r="E93" s="5">
        <f>1-Tabla2[[#This Row],[obj value]]/((Tabla2[[#This Row],[n]]*(Tabla2[[#This Row],[n]]-1))/2)</f>
        <v>0.96464130434782613</v>
      </c>
      <c r="F93" s="2">
        <v>73.305000000000007</v>
      </c>
      <c r="G93" s="2">
        <v>47</v>
      </c>
    </row>
    <row r="94" spans="1:7" x14ac:dyDescent="0.2">
      <c r="A94" s="2" t="s">
        <v>36</v>
      </c>
      <c r="B94" s="2">
        <v>24</v>
      </c>
      <c r="C94" s="2">
        <v>4</v>
      </c>
      <c r="D94" s="2">
        <v>2.4079999999999999</v>
      </c>
      <c r="E94" s="5">
        <f>1-Tabla2[[#This Row],[obj value]]/((Tabla2[[#This Row],[n]]*(Tabla2[[#This Row],[n]]-1))/2)</f>
        <v>0.99127536231884061</v>
      </c>
      <c r="F94" s="2">
        <v>895.97799999999995</v>
      </c>
      <c r="G94" s="2">
        <v>50</v>
      </c>
    </row>
    <row r="95" spans="1:7" x14ac:dyDescent="0.2">
      <c r="A95" s="2" t="s">
        <v>37</v>
      </c>
      <c r="B95" s="2">
        <v>24</v>
      </c>
      <c r="C95" s="2">
        <v>2</v>
      </c>
      <c r="D95" s="2">
        <v>32.915999999999997</v>
      </c>
      <c r="E95" s="5">
        <f>1-Tabla2[[#This Row],[obj value]]/((Tabla2[[#This Row],[n]]*(Tabla2[[#This Row],[n]]-1))/2)</f>
        <v>0.88073913043478258</v>
      </c>
      <c r="F95" s="2">
        <v>12.226000000000001</v>
      </c>
      <c r="G95" s="2">
        <v>38</v>
      </c>
    </row>
    <row r="96" spans="1:7" x14ac:dyDescent="0.2">
      <c r="A96" s="2" t="s">
        <v>37</v>
      </c>
      <c r="B96" s="2">
        <v>24</v>
      </c>
      <c r="C96" s="2">
        <v>3</v>
      </c>
      <c r="D96" s="2">
        <v>12.768000000000001</v>
      </c>
      <c r="E96" s="5">
        <f>1-Tabla2[[#This Row],[obj value]]/((Tabla2[[#This Row],[n]]*(Tabla2[[#This Row],[n]]-1))/2)</f>
        <v>0.95373913043478264</v>
      </c>
      <c r="F96" s="2">
        <v>3510.3040000000001</v>
      </c>
      <c r="G96" s="2">
        <v>39</v>
      </c>
    </row>
    <row r="97" spans="1:7" x14ac:dyDescent="0.2">
      <c r="A97" s="2" t="s">
        <v>37</v>
      </c>
      <c r="B97" s="2">
        <v>24</v>
      </c>
      <c r="C97" s="2">
        <v>4</v>
      </c>
      <c r="D97" s="2">
        <v>2.5099999999999998</v>
      </c>
      <c r="E97" s="5">
        <f>1-Tabla2[[#This Row],[obj value]]/((Tabla2[[#This Row],[n]]*(Tabla2[[#This Row],[n]]-1))/2)</f>
        <v>0.99090579710144933</v>
      </c>
      <c r="F97" s="2">
        <v>4798.2610000000004</v>
      </c>
      <c r="G97" s="2">
        <v>45</v>
      </c>
    </row>
    <row r="98" spans="1:7" x14ac:dyDescent="0.2">
      <c r="A98" s="2" t="s">
        <v>38</v>
      </c>
      <c r="B98" s="2">
        <v>24</v>
      </c>
      <c r="C98" s="2">
        <v>2</v>
      </c>
      <c r="D98" s="2">
        <v>22.594000000000001</v>
      </c>
      <c r="E98" s="5">
        <f>1-Tabla2[[#This Row],[obj value]]/((Tabla2[[#This Row],[n]]*(Tabla2[[#This Row],[n]]-1))/2)</f>
        <v>0.91813768115942029</v>
      </c>
      <c r="F98" s="2">
        <v>6.0140000000000002</v>
      </c>
      <c r="G98" s="2">
        <v>41</v>
      </c>
    </row>
    <row r="99" spans="1:7" x14ac:dyDescent="0.2">
      <c r="A99" s="2" t="s">
        <v>38</v>
      </c>
      <c r="B99" s="2">
        <v>24</v>
      </c>
      <c r="C99" s="2">
        <v>3</v>
      </c>
      <c r="D99" s="2">
        <v>11.413</v>
      </c>
      <c r="E99" s="5">
        <f>1-Tabla2[[#This Row],[obj value]]/((Tabla2[[#This Row],[n]]*(Tabla2[[#This Row],[n]]-1))/2)</f>
        <v>0.95864855072463773</v>
      </c>
      <c r="F99" s="2">
        <v>85.769000000000005</v>
      </c>
      <c r="G99" s="2">
        <v>52</v>
      </c>
    </row>
    <row r="100" spans="1:7" x14ac:dyDescent="0.2">
      <c r="A100" s="2" t="s">
        <v>38</v>
      </c>
      <c r="B100" s="2">
        <v>24</v>
      </c>
      <c r="C100" s="2">
        <v>4</v>
      </c>
      <c r="D100" s="2">
        <v>7.5330000000000004</v>
      </c>
      <c r="E100" s="5">
        <f>1-Tabla2[[#This Row],[obj value]]/((Tabla2[[#This Row],[n]]*(Tabla2[[#This Row],[n]]-1))/2)</f>
        <v>0.97270652173913041</v>
      </c>
      <c r="F100" s="2">
        <v>2000.4649999999999</v>
      </c>
      <c r="G100" s="2">
        <v>45</v>
      </c>
    </row>
    <row r="101" spans="1:7" x14ac:dyDescent="0.2">
      <c r="A101" s="2" t="s">
        <v>39</v>
      </c>
      <c r="B101" s="2">
        <v>24</v>
      </c>
      <c r="C101" s="2">
        <v>2</v>
      </c>
      <c r="D101" s="2">
        <v>33.695999999999998</v>
      </c>
      <c r="E101" s="5">
        <f>1-Tabla2[[#This Row],[obj value]]/((Tabla2[[#This Row],[n]]*(Tabla2[[#This Row],[n]]-1))/2)</f>
        <v>0.87791304347826093</v>
      </c>
      <c r="F101" s="2">
        <v>9.1829999999999998</v>
      </c>
      <c r="G101" s="2">
        <v>28</v>
      </c>
    </row>
    <row r="102" spans="1:7" x14ac:dyDescent="0.2">
      <c r="A102" s="2" t="s">
        <v>39</v>
      </c>
      <c r="B102" s="2">
        <v>24</v>
      </c>
      <c r="C102" s="2">
        <v>3</v>
      </c>
      <c r="D102" s="2">
        <v>15.016</v>
      </c>
      <c r="E102" s="5">
        <f>1-Tabla2[[#This Row],[obj value]]/((Tabla2[[#This Row],[n]]*(Tabla2[[#This Row],[n]]-1))/2)</f>
        <v>0.94559420289855067</v>
      </c>
      <c r="F102" s="2">
        <v>5935.3050000000003</v>
      </c>
      <c r="G102" s="2">
        <v>60</v>
      </c>
    </row>
    <row r="103" spans="1:7" x14ac:dyDescent="0.2">
      <c r="A103" s="2" t="s">
        <v>39</v>
      </c>
      <c r="B103" s="2">
        <v>24</v>
      </c>
      <c r="C103" s="2">
        <v>4</v>
      </c>
      <c r="D103" s="2">
        <v>7.7789999999999999</v>
      </c>
      <c r="E103" s="5">
        <f>1-Tabla2[[#This Row],[obj value]]/((Tabla2[[#This Row],[n]]*(Tabla2[[#This Row],[n]]-1))/2)</f>
        <v>0.97181521739130439</v>
      </c>
      <c r="F103" s="2">
        <v>7181.4459999999999</v>
      </c>
      <c r="G103" s="2">
        <v>67</v>
      </c>
    </row>
    <row r="104" spans="1:7" x14ac:dyDescent="0.2">
      <c r="A104" s="2" t="s">
        <v>40</v>
      </c>
      <c r="B104" s="2">
        <v>24</v>
      </c>
      <c r="C104" s="2">
        <v>2</v>
      </c>
      <c r="D104" s="2">
        <v>25.837</v>
      </c>
      <c r="E104" s="5">
        <f>1-Tabla2[[#This Row],[obj value]]/((Tabla2[[#This Row],[n]]*(Tabla2[[#This Row],[n]]-1))/2)</f>
        <v>0.90638768115942026</v>
      </c>
      <c r="F104" s="2">
        <v>5.5309999999999997</v>
      </c>
      <c r="G104" s="2">
        <v>35</v>
      </c>
    </row>
    <row r="105" spans="1:7" x14ac:dyDescent="0.2">
      <c r="A105" s="2" t="s">
        <v>40</v>
      </c>
      <c r="B105" s="2">
        <v>24</v>
      </c>
      <c r="C105" s="2">
        <v>3</v>
      </c>
      <c r="D105" s="2">
        <v>15.170999999999999</v>
      </c>
      <c r="E105" s="5">
        <f>1-Tabla2[[#This Row],[obj value]]/((Tabla2[[#This Row],[n]]*(Tabla2[[#This Row],[n]]-1))/2)</f>
        <v>0.9450326086956522</v>
      </c>
      <c r="F105" s="2">
        <v>153.99100000000001</v>
      </c>
      <c r="G105" s="2">
        <v>42</v>
      </c>
    </row>
    <row r="106" spans="1:7" x14ac:dyDescent="0.2">
      <c r="A106" s="2" t="s">
        <v>40</v>
      </c>
      <c r="B106" s="2">
        <v>24</v>
      </c>
      <c r="C106" s="2">
        <v>4</v>
      </c>
      <c r="D106" s="2">
        <v>10.012</v>
      </c>
      <c r="E106" s="5">
        <f>1-Tabla2[[#This Row],[obj value]]/((Tabla2[[#This Row],[n]]*(Tabla2[[#This Row],[n]]-1))/2)</f>
        <v>0.96372463768115946</v>
      </c>
      <c r="F106" s="2">
        <v>4766.0969999999998</v>
      </c>
      <c r="G106" s="2">
        <v>46</v>
      </c>
    </row>
    <row r="107" spans="1:7" x14ac:dyDescent="0.2">
      <c r="A107" s="2" t="s">
        <v>41</v>
      </c>
      <c r="B107" s="2">
        <v>24</v>
      </c>
      <c r="C107" s="2">
        <v>2</v>
      </c>
      <c r="D107" s="2">
        <v>29.542999999999999</v>
      </c>
      <c r="E107" s="5">
        <f>1-Tabla2[[#This Row],[obj value]]/((Tabla2[[#This Row],[n]]*(Tabla2[[#This Row],[n]]-1))/2)</f>
        <v>0.89296014492753628</v>
      </c>
      <c r="F107" s="2">
        <v>7.6550000000000002</v>
      </c>
      <c r="G107" s="2">
        <v>32</v>
      </c>
    </row>
    <row r="108" spans="1:7" x14ac:dyDescent="0.2">
      <c r="A108" s="2" t="s">
        <v>41</v>
      </c>
      <c r="B108" s="2">
        <v>24</v>
      </c>
      <c r="C108" s="2">
        <v>3</v>
      </c>
      <c r="D108" s="2">
        <v>16.204000000000001</v>
      </c>
      <c r="E108" s="5">
        <f>1-Tabla2[[#This Row],[obj value]]/((Tabla2[[#This Row],[n]]*(Tabla2[[#This Row],[n]]-1))/2)</f>
        <v>0.94128985507246377</v>
      </c>
      <c r="F108" s="2">
        <v>5067.8689999999997</v>
      </c>
      <c r="G108" s="2">
        <v>56</v>
      </c>
    </row>
    <row r="109" spans="1:7" x14ac:dyDescent="0.2">
      <c r="A109" s="2" t="s">
        <v>41</v>
      </c>
      <c r="B109" s="2">
        <v>24</v>
      </c>
      <c r="C109" s="2">
        <v>4</v>
      </c>
      <c r="D109" s="2">
        <v>11.917</v>
      </c>
      <c r="E109" s="5">
        <f>1-Tabla2[[#This Row],[obj value]]/((Tabla2[[#This Row],[n]]*(Tabla2[[#This Row],[n]]-1))/2)</f>
        <v>0.95682246376811597</v>
      </c>
      <c r="F109" s="2">
        <v>6486.6559999999999</v>
      </c>
      <c r="G109" s="2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exact</vt:lpstr>
      <vt:lpstr>heuristic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Alcantara, Juan De Dios</dc:creator>
  <cp:lastModifiedBy>Jaime Alcantara, Juan De Dios</cp:lastModifiedBy>
  <dcterms:created xsi:type="dcterms:W3CDTF">2026-04-23T10:36:51Z</dcterms:created>
  <dcterms:modified xsi:type="dcterms:W3CDTF">2026-04-23T11:03:07Z</dcterms:modified>
</cp:coreProperties>
</file>